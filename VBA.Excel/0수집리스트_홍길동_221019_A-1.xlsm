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NT-350\Desktop\Github_ToyProject\VBA.Excel\"/>
    </mc:Choice>
  </mc:AlternateContent>
  <bookViews>
    <workbookView xWindow="0" yWindow="0" windowWidth="23040" windowHeight="9108" firstSheet="1" activeTab="1"/>
  </bookViews>
  <sheets>
    <sheet name="수집&amp;편집리스트" sheetId="2" r:id="rId1"/>
    <sheet name="수집리스트" sheetId="3" r:id="rId2"/>
    <sheet name="All" sheetId="4" r:id="rId3"/>
  </sheets>
  <functionGroups builtInGroupCount="18"/>
  <definedNames>
    <definedName name="_xlnm._FilterDatabase" localSheetId="2" hidden="1">All!$A$1:$E$238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" l="1"/>
  <c r="G6" i="2" l="1"/>
  <c r="L5" i="2" l="1"/>
  <c r="L6" i="2" l="1"/>
  <c r="M4" i="2" l="1"/>
  <c r="I6" i="2"/>
  <c r="G5" i="2"/>
  <c r="I5" i="2"/>
</calcChain>
</file>

<file path=xl/sharedStrings.xml><?xml version="1.0" encoding="utf-8"?>
<sst xmlns="http://schemas.openxmlformats.org/spreadsheetml/2006/main" count="980" uniqueCount="318">
  <si>
    <t>소리명</t>
    <phoneticPr fontId="1" type="noConversion"/>
  </si>
  <si>
    <t>원시데이터</t>
    <phoneticPr fontId="1" type="noConversion"/>
  </si>
  <si>
    <t>워커명</t>
    <phoneticPr fontId="1" type="noConversion"/>
  </si>
  <si>
    <t>파일명</t>
    <phoneticPr fontId="1" type="noConversion"/>
  </si>
  <si>
    <t>그룹명</t>
    <phoneticPr fontId="1" type="noConversion"/>
  </si>
  <si>
    <t>제출일자</t>
    <phoneticPr fontId="1" type="noConversion"/>
  </si>
  <si>
    <t>연번</t>
    <phoneticPr fontId="1" type="noConversion"/>
  </si>
  <si>
    <t>검수일자</t>
    <phoneticPr fontId="1" type="noConversion"/>
  </si>
  <si>
    <t>검수자명</t>
    <phoneticPr fontId="1" type="noConversion"/>
  </si>
  <si>
    <t>지급액</t>
    <phoneticPr fontId="1" type="noConversion"/>
  </si>
  <si>
    <t>부적합사유</t>
    <phoneticPr fontId="1" type="noConversion"/>
  </si>
  <si>
    <t>적합여부</t>
    <phoneticPr fontId="1" type="noConversion"/>
  </si>
  <si>
    <t>편집데이터</t>
    <phoneticPr fontId="1" type="noConversion"/>
  </si>
  <si>
    <t>수집 및 편집리스트</t>
    <phoneticPr fontId="1" type="noConversion"/>
  </si>
  <si>
    <t>박찬희0, 전지실1, 한정택2</t>
    <phoneticPr fontId="1" type="noConversion"/>
  </si>
  <si>
    <t>검수하는 월 일 각 칸에 입력&gt;</t>
    <phoneticPr fontId="1" type="noConversion"/>
  </si>
  <si>
    <t>번호or이름 &gt;</t>
    <phoneticPr fontId="1" type="noConversion"/>
  </si>
  <si>
    <t>제출일자</t>
    <phoneticPr fontId="1" type="noConversion"/>
  </si>
  <si>
    <t>파일명</t>
    <phoneticPr fontId="1" type="noConversion"/>
  </si>
  <si>
    <t>워커명</t>
    <phoneticPr fontId="1" type="noConversion"/>
  </si>
  <si>
    <t>원시데이터</t>
    <phoneticPr fontId="1" type="noConversion"/>
  </si>
  <si>
    <t>그룹명</t>
    <phoneticPr fontId="1" type="noConversion"/>
  </si>
  <si>
    <t>연번</t>
    <phoneticPr fontId="1" type="noConversion"/>
  </si>
  <si>
    <t>소리명</t>
    <phoneticPr fontId="1" type="noConversion"/>
  </si>
  <si>
    <t>수집리스트</t>
    <phoneticPr fontId="1" type="noConversion"/>
  </si>
  <si>
    <t>D-3</t>
  </si>
  <si>
    <t>D</t>
    <phoneticPr fontId="1" type="noConversion"/>
  </si>
  <si>
    <t>스파크 튀는 소리</t>
  </si>
  <si>
    <t>03전자제품 및 생활환경소리</t>
    <phoneticPr fontId="6" type="noConversion"/>
  </si>
  <si>
    <t>전기 소리</t>
  </si>
  <si>
    <t>나무 갈라지는 소리</t>
  </si>
  <si>
    <t>03알람소리</t>
    <phoneticPr fontId="6" type="noConversion"/>
  </si>
  <si>
    <t>03알람소리</t>
    <phoneticPr fontId="6" type="noConversion"/>
  </si>
  <si>
    <t>코 고는 소리</t>
  </si>
  <si>
    <t>01사람의 비언어적인 소리</t>
    <phoneticPr fontId="6" type="noConversion"/>
  </si>
  <si>
    <t>D-2</t>
  </si>
  <si>
    <t>안경세척기 소리</t>
  </si>
  <si>
    <t>진자운동 모빌 소리</t>
  </si>
  <si>
    <t>D</t>
    <phoneticPr fontId="1" type="noConversion"/>
  </si>
  <si>
    <t>잠꼬대 하는 소리</t>
  </si>
  <si>
    <t>01사람의 비언어적인 소리</t>
    <phoneticPr fontId="6" type="noConversion"/>
  </si>
  <si>
    <t>D-1</t>
  </si>
  <si>
    <t>03알람소리</t>
    <phoneticPr fontId="6" type="noConversion"/>
  </si>
  <si>
    <t>젖병 빠는 소리</t>
  </si>
  <si>
    <t>꼬르륵 소리</t>
  </si>
  <si>
    <t>모닥불 소리</t>
  </si>
  <si>
    <t>02동물 및 자연소리</t>
    <phoneticPr fontId="6" type="noConversion"/>
  </si>
  <si>
    <t>파도 소리</t>
  </si>
  <si>
    <t>C-7</t>
  </si>
  <si>
    <t>C</t>
    <phoneticPr fontId="1" type="noConversion"/>
  </si>
  <si>
    <t>풍경 소리</t>
  </si>
  <si>
    <t>C</t>
    <phoneticPr fontId="1" type="noConversion"/>
  </si>
  <si>
    <t>굽는 소리</t>
  </si>
  <si>
    <t>체인 돌아가는 소리</t>
  </si>
  <si>
    <t>휘젓는 소리</t>
  </si>
  <si>
    <t>03전자제품 및 생활환경소리</t>
    <phoneticPr fontId="6" type="noConversion"/>
  </si>
  <si>
    <t>계수기 소리</t>
  </si>
  <si>
    <t>방앗간 기계</t>
  </si>
  <si>
    <t>손방귀 소리</t>
  </si>
  <si>
    <t>재채기 하는 소리</t>
  </si>
  <si>
    <t>휘파람 소리</t>
  </si>
  <si>
    <t>C-6</t>
  </si>
  <si>
    <t>카드 단말기 소리</t>
  </si>
  <si>
    <t>콧노래 소리</t>
  </si>
  <si>
    <t>기지개 켜는 소리</t>
  </si>
  <si>
    <t>웅성거리는 소리</t>
  </si>
  <si>
    <t>헐떡이는 소리</t>
  </si>
  <si>
    <t>양 소리</t>
  </si>
  <si>
    <t>말 소리</t>
  </si>
  <si>
    <t>돼지 소리</t>
  </si>
  <si>
    <t>C-2</t>
  </si>
  <si>
    <t>목탁 소리</t>
  </si>
  <si>
    <t>라디오 지지직 소리</t>
  </si>
  <si>
    <t>토치 소리</t>
  </si>
  <si>
    <t>다듬이질 소리</t>
  </si>
  <si>
    <t>세단기</t>
  </si>
  <si>
    <t>유리 깨지는 소리</t>
  </si>
  <si>
    <t>꼬로록 거리는 소리</t>
  </si>
  <si>
    <t>딸꾹질 소리</t>
  </si>
  <si>
    <t>손가락 튕기는 소리</t>
  </si>
  <si>
    <t>C-1</t>
  </si>
  <si>
    <t>옹알이 하는 소리</t>
  </si>
  <si>
    <t>이 가는 소리</t>
  </si>
  <si>
    <t>긁는 소리</t>
  </si>
  <si>
    <t>울음 소리</t>
  </si>
  <si>
    <t>트림 소리</t>
  </si>
  <si>
    <t>오리 소리</t>
  </si>
  <si>
    <t>소 소리</t>
  </si>
  <si>
    <t>물 흐르는 소리</t>
  </si>
  <si>
    <t>B-8</t>
  </si>
  <si>
    <t>B</t>
    <phoneticPr fontId="1" type="noConversion"/>
  </si>
  <si>
    <t>풍선 소리</t>
  </si>
  <si>
    <t>커피머신 소리</t>
  </si>
  <si>
    <t>빨대 소리</t>
  </si>
  <si>
    <t>동전 떨어지는 소리</t>
  </si>
  <si>
    <t>칼 가는 소리</t>
  </si>
  <si>
    <t>장난감 소리</t>
  </si>
  <si>
    <t>바퀴 굴러가는 소리</t>
  </si>
  <si>
    <t>에어프라이어 소리</t>
  </si>
  <si>
    <t>B</t>
    <phoneticPr fontId="1" type="noConversion"/>
  </si>
  <si>
    <t>플라스틱 부딪히는 소리</t>
  </si>
  <si>
    <t>돌 부딪히는 소리</t>
  </si>
  <si>
    <t>B-7</t>
  </si>
  <si>
    <t>배추 먹는 소리</t>
  </si>
  <si>
    <t>쉿 소리</t>
  </si>
  <si>
    <t>귤 먹는 소리</t>
  </si>
  <si>
    <t>치아 부딪히는 소리</t>
  </si>
  <si>
    <t>옥수수 먹는 소리</t>
  </si>
  <si>
    <t>발성연습 소리</t>
  </si>
  <si>
    <t>젤리 먹는 소리</t>
  </si>
  <si>
    <t>손빨래 하는 소리</t>
  </si>
  <si>
    <t>B-6</t>
  </si>
  <si>
    <t>양치하는 소리</t>
  </si>
  <si>
    <t>환호하는 소리</t>
  </si>
  <si>
    <t>밟는 소리</t>
  </si>
  <si>
    <t>호로록 거리는 소리</t>
  </si>
  <si>
    <t>까마귀 소리</t>
  </si>
  <si>
    <t>참새 소리</t>
  </si>
  <si>
    <t>물 떨어지는 소리</t>
  </si>
  <si>
    <t>돌 구르는 소리</t>
  </si>
  <si>
    <t>닭 소리</t>
  </si>
  <si>
    <t>B-5</t>
  </si>
  <si>
    <t>철 끄는 소리</t>
  </si>
  <si>
    <t>수타치는 소리</t>
  </si>
  <si>
    <t>지문인식기 소리</t>
  </si>
  <si>
    <t>건조기 소리</t>
  </si>
  <si>
    <t>칠판 긁는 소리</t>
  </si>
  <si>
    <t>구슬치는 소리</t>
  </si>
  <si>
    <t>엘리베이터 소리</t>
  </si>
  <si>
    <t>트라이앵글 소리</t>
  </si>
  <si>
    <t>물통 흔드는 소리</t>
  </si>
  <si>
    <t>B-4</t>
  </si>
  <si>
    <t>물 내리는 소리</t>
  </si>
  <si>
    <t>종이 넘기는 소리</t>
  </si>
  <si>
    <t>전동 드라이버 소리</t>
  </si>
  <si>
    <t>다리미 소리</t>
  </si>
  <si>
    <t>화투 소리</t>
  </si>
  <si>
    <t>뽁뽁이 소리</t>
  </si>
  <si>
    <t>커튼 소리</t>
  </si>
  <si>
    <t>태엽 감는 소리</t>
  </si>
  <si>
    <t>카메라 소리</t>
  </si>
  <si>
    <t>천 긁는 소리</t>
  </si>
  <si>
    <t>B-3</t>
  </si>
  <si>
    <t>스티로폼 소리</t>
  </si>
  <si>
    <t>지퍼 소리</t>
  </si>
  <si>
    <t>캔 따는 소리</t>
  </si>
  <si>
    <t>라이터 소리</t>
  </si>
  <si>
    <t>전자레인지 소리</t>
  </si>
  <si>
    <t>분무기 소리</t>
  </si>
  <si>
    <t>문 여닫는 소리</t>
  </si>
  <si>
    <t>의자(책상)끄는 소리</t>
  </si>
  <si>
    <t>천 찢어지는 소리</t>
  </si>
  <si>
    <t>초인종 소리</t>
  </si>
  <si>
    <t>B-2</t>
  </si>
  <si>
    <t>혀 튕기는 소리</t>
  </si>
  <si>
    <t>비트박스 하는 소리</t>
  </si>
  <si>
    <t>튀김 먹는 소리</t>
  </si>
  <si>
    <t>건어물 씹는 소리</t>
  </si>
  <si>
    <t>복숭아 먹는 소리</t>
  </si>
  <si>
    <t>참외 먹는 소리</t>
  </si>
  <si>
    <t>관절 꺾는 소리</t>
  </si>
  <si>
    <t>물거품 내는 소리</t>
  </si>
  <si>
    <t>살 문지르는 소리</t>
  </si>
  <si>
    <t>줄넘기 하는 소리</t>
  </si>
  <si>
    <t>B-1</t>
  </si>
  <si>
    <t>공 치는 소리</t>
  </si>
  <si>
    <t>뛰는 소리</t>
  </si>
  <si>
    <t>걷는 소리</t>
  </si>
  <si>
    <t>비명 소리</t>
  </si>
  <si>
    <t>나뭇잎 흔들리는 소리</t>
  </si>
  <si>
    <t>까치 소리</t>
  </si>
  <si>
    <t>매미 소리</t>
  </si>
  <si>
    <t>벌 소리</t>
  </si>
  <si>
    <t>풀벌레 소리</t>
  </si>
  <si>
    <t>고양이 소리</t>
  </si>
  <si>
    <t>A-10</t>
    <phoneticPr fontId="6" type="noConversion"/>
  </si>
  <si>
    <t>A</t>
    <phoneticPr fontId="1" type="noConversion"/>
  </si>
  <si>
    <t>똑딱이 소리</t>
  </si>
  <si>
    <t>뿅망치 소리</t>
  </si>
  <si>
    <t>의자(책상)삐그덕 소리</t>
  </si>
  <si>
    <t>제모기 소리</t>
  </si>
  <si>
    <t>보풀제거기 소리</t>
  </si>
  <si>
    <t>장기알 소리</t>
  </si>
  <si>
    <t>보글보글 끓는 소리</t>
  </si>
  <si>
    <t>통조림 따는 소리</t>
  </si>
  <si>
    <t>A</t>
    <phoneticPr fontId="1" type="noConversion"/>
  </si>
  <si>
    <t>락카 소리</t>
  </si>
  <si>
    <t>휴대용 손풍기 소리</t>
  </si>
  <si>
    <t>A-9</t>
    <phoneticPr fontId="6" type="noConversion"/>
  </si>
  <si>
    <t>오토바이 시동 소리</t>
  </si>
  <si>
    <t>캐스터네츠 소리</t>
  </si>
  <si>
    <t>탄산음료 따르는 소리</t>
  </si>
  <si>
    <t>A</t>
    <phoneticPr fontId="1" type="noConversion"/>
  </si>
  <si>
    <t>은박지 소리</t>
  </si>
  <si>
    <t>사포질 소리</t>
  </si>
  <si>
    <t>A-9</t>
    <phoneticPr fontId="6" type="noConversion"/>
  </si>
  <si>
    <t>밥솥 소리</t>
  </si>
  <si>
    <t>전기채 소리</t>
  </si>
  <si>
    <t>빗자루질 소리</t>
  </si>
  <si>
    <t>병 따는 소리</t>
  </si>
  <si>
    <t>사료 먹는 소리</t>
  </si>
  <si>
    <t>A-8</t>
    <phoneticPr fontId="6" type="noConversion"/>
  </si>
  <si>
    <t>세탁기 소리</t>
  </si>
  <si>
    <t>드라이기 소리</t>
  </si>
  <si>
    <t>시계 소리</t>
  </si>
  <si>
    <t>자동차 경적 소리</t>
  </si>
  <si>
    <t>커피포트 끓는 소리</t>
  </si>
  <si>
    <t>스테이플러</t>
  </si>
  <si>
    <t>플라스틱 구기는 소리</t>
  </si>
  <si>
    <t>동물 빗질 소리</t>
  </si>
  <si>
    <t>A-7</t>
    <phoneticPr fontId="6" type="noConversion"/>
  </si>
  <si>
    <t>유리 부딪히는 소리</t>
  </si>
  <si>
    <t>비닐 구기는 소리</t>
  </si>
  <si>
    <t>PC 소리</t>
  </si>
  <si>
    <t>A-7</t>
    <phoneticPr fontId="6" type="noConversion"/>
  </si>
  <si>
    <t>호루라기 소리</t>
  </si>
  <si>
    <t>입 푸는 소리</t>
  </si>
  <si>
    <t>가래 끓는 소리</t>
  </si>
  <si>
    <t>따귀(찰싹거리는) 소리</t>
  </si>
  <si>
    <t>박수 소리</t>
  </si>
  <si>
    <t>새 소리</t>
  </si>
  <si>
    <t>A-6</t>
    <phoneticPr fontId="6" type="noConversion"/>
  </si>
  <si>
    <t>시리얼 먹는 소리</t>
  </si>
  <si>
    <t>배 먹는 소리</t>
  </si>
  <si>
    <t>생라면 먹는 소리</t>
  </si>
  <si>
    <t>바게트 먹는 소리</t>
  </si>
  <si>
    <t>수박 먹는 소리</t>
  </si>
  <si>
    <t>사과 먹는 소리</t>
  </si>
  <si>
    <t>야채 먹는 소리</t>
  </si>
  <si>
    <t>사탕 먹는 소리</t>
  </si>
  <si>
    <t>얼음 먹는 소리</t>
  </si>
  <si>
    <t>A-5</t>
    <phoneticPr fontId="6" type="noConversion"/>
  </si>
  <si>
    <t>레고 소리</t>
  </si>
  <si>
    <t>랩핑 소리</t>
  </si>
  <si>
    <t>비데 소리</t>
  </si>
  <si>
    <t>코털정리기 소리</t>
  </si>
  <si>
    <t>케이블타이 소리</t>
  </si>
  <si>
    <t>열쇠 따는 소리</t>
  </si>
  <si>
    <t>팽이치는 소리</t>
  </si>
  <si>
    <t>과일(야채)깎는 소리</t>
  </si>
  <si>
    <t>비둘기 소리</t>
  </si>
  <si>
    <t>A-4</t>
    <phoneticPr fontId="6" type="noConversion"/>
  </si>
  <si>
    <t>멜로디언 소리</t>
  </si>
  <si>
    <t>피리 소리</t>
  </si>
  <si>
    <t>유리 문지르는 소리</t>
  </si>
  <si>
    <t>벨크로 소리</t>
  </si>
  <si>
    <t>복합기 소리</t>
  </si>
  <si>
    <t>쌀 소리</t>
  </si>
  <si>
    <t>빻는 소리</t>
  </si>
  <si>
    <t>가스레인지 소리</t>
  </si>
  <si>
    <t>수세미질 소리</t>
  </si>
  <si>
    <t>모기 소리</t>
  </si>
  <si>
    <t>A-3</t>
    <phoneticPr fontId="6" type="noConversion"/>
  </si>
  <si>
    <t>연필깎이 소리</t>
  </si>
  <si>
    <t>믹서기 가는 소리</t>
  </si>
  <si>
    <t>테이프 소리</t>
  </si>
  <si>
    <t>타자 치는 소리</t>
  </si>
  <si>
    <t>바코드 찍는 소리</t>
  </si>
  <si>
    <t>도어락 소리</t>
  </si>
  <si>
    <t>캔 찌그러지는 소리</t>
  </si>
  <si>
    <t>금속 부딪히는 소리</t>
  </si>
  <si>
    <t>귀뚜라미 소리</t>
  </si>
  <si>
    <t>A-2</t>
    <phoneticPr fontId="6" type="noConversion"/>
  </si>
  <si>
    <t>종이 구기는 소리</t>
  </si>
  <si>
    <t>휴대폰 소리</t>
  </si>
  <si>
    <t>자전거 종소리</t>
  </si>
  <si>
    <t>앓는 소리</t>
  </si>
  <si>
    <t>뽀뽀하는 소리</t>
  </si>
  <si>
    <t>웃음 소리</t>
  </si>
  <si>
    <t>침 뱉는 소리</t>
  </si>
  <si>
    <t>바람 소리</t>
  </si>
  <si>
    <t>A-1</t>
    <phoneticPr fontId="6" type="noConversion"/>
  </si>
  <si>
    <t>껌 씹는 소리</t>
  </si>
  <si>
    <t>코 푸는 소리</t>
  </si>
  <si>
    <t>코 훌쩍거리는 소리</t>
    <phoneticPr fontId="6" type="noConversion"/>
  </si>
  <si>
    <t>과자먹는 소리</t>
  </si>
  <si>
    <t>물 마시는 소리</t>
  </si>
  <si>
    <t>가글하는 소리</t>
  </si>
  <si>
    <t>기침 소리</t>
  </si>
  <si>
    <t>비 소리</t>
  </si>
  <si>
    <t>그룹배정</t>
    <phoneticPr fontId="6" type="noConversion"/>
  </si>
  <si>
    <t>그룹</t>
    <phoneticPr fontId="1" type="noConversion"/>
  </si>
  <si>
    <t>소리명</t>
    <phoneticPr fontId="6" type="noConversion"/>
  </si>
  <si>
    <t>연번</t>
    <phoneticPr fontId="6" type="noConversion"/>
  </si>
  <si>
    <t>카테고리</t>
    <phoneticPr fontId="6" type="noConversion"/>
  </si>
  <si>
    <t>개 소리</t>
    <phoneticPr fontId="1" type="noConversion"/>
  </si>
  <si>
    <t>땅콩 먹는 소리</t>
    <phoneticPr fontId="1" type="noConversion"/>
  </si>
  <si>
    <t>기합 넣는 소리</t>
    <phoneticPr fontId="1" type="noConversion"/>
  </si>
  <si>
    <t>노크 하는 소리</t>
    <phoneticPr fontId="1" type="noConversion"/>
  </si>
  <si>
    <t>03전자제품 및 생활환경소리</t>
    <phoneticPr fontId="6" type="noConversion"/>
  </si>
  <si>
    <t>무 먹는 소리</t>
    <phoneticPr fontId="1" type="noConversion"/>
  </si>
  <si>
    <t>세수 하는 소리</t>
    <phoneticPr fontId="1" type="noConversion"/>
  </si>
  <si>
    <t>하품 하는 소리</t>
    <phoneticPr fontId="1" type="noConversion"/>
  </si>
  <si>
    <t>팝콘 먹는 소리</t>
    <phoneticPr fontId="1" type="noConversion"/>
  </si>
  <si>
    <t>야유 하는 소리</t>
    <phoneticPr fontId="1" type="noConversion"/>
  </si>
  <si>
    <t>헛기침 하는 소리</t>
    <phoneticPr fontId="1" type="noConversion"/>
  </si>
  <si>
    <t>아카펠라 소리</t>
    <phoneticPr fontId="1" type="noConversion"/>
  </si>
  <si>
    <t>요들 소리</t>
    <phoneticPr fontId="1" type="noConversion"/>
  </si>
  <si>
    <t>한숨 쉬는 소리</t>
    <phoneticPr fontId="1" type="noConversion"/>
  </si>
  <si>
    <t>헛구역질 하는 소리</t>
    <phoneticPr fontId="1" type="noConversion"/>
  </si>
  <si>
    <t>학교 알람 소리</t>
    <phoneticPr fontId="1" type="noConversion"/>
  </si>
  <si>
    <t>가스누출 경보 소리</t>
    <phoneticPr fontId="1" type="noConversion"/>
  </si>
  <si>
    <t>종 소리</t>
    <phoneticPr fontId="1" type="noConversion"/>
  </si>
  <si>
    <t>비상경보 소리</t>
    <phoneticPr fontId="1" type="noConversion"/>
  </si>
  <si>
    <t>화재경보 소리</t>
    <phoneticPr fontId="1" type="noConversion"/>
  </si>
  <si>
    <t>자동차 경보음 소리</t>
    <phoneticPr fontId="1" type="noConversion"/>
  </si>
  <si>
    <t>필기 하는 소리</t>
    <phoneticPr fontId="1" type="noConversion"/>
  </si>
  <si>
    <t>호두 까는 소리</t>
    <phoneticPr fontId="1" type="noConversion"/>
  </si>
  <si>
    <t>칼질 하는 소리</t>
    <phoneticPr fontId="1" type="noConversion"/>
  </si>
  <si>
    <t>마우스 클릭 하는 소리</t>
    <phoneticPr fontId="1" type="noConversion"/>
  </si>
  <si>
    <t>윷 던지는 소리</t>
    <phoneticPr fontId="1" type="noConversion"/>
  </si>
  <si>
    <t>총액</t>
    <phoneticPr fontId="1" type="noConversion"/>
  </si>
  <si>
    <t>03전자제품 및 생활환경소리</t>
    <phoneticPr fontId="6" type="noConversion"/>
  </si>
  <si>
    <t>03알람소리</t>
    <phoneticPr fontId="6" type="noConversion"/>
  </si>
  <si>
    <t>01사람의 비언어적인 소리</t>
    <phoneticPr fontId="6" type="noConversion"/>
  </si>
  <si>
    <t>신체 긁는 소리</t>
    <phoneticPr fontId="1" type="noConversion"/>
  </si>
  <si>
    <t>C</t>
    <phoneticPr fontId="1" type="noConversion"/>
  </si>
  <si>
    <t>C-1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</si>
</sst>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mmdd"/>
    <numFmt numFmtId="177" formatCode="&quot;₩&quot;#,##0;[Red]&quot;₩&quot;#,##0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8"/>
      <name val="KoPub돋움체 Light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13" xfId="0" applyNumberFormat="1" applyBorder="1" applyAlignment="1">
      <alignment horizontal="center" vertical="center"/>
    </xf>
    <xf numFmtId="0" fontId="0" fillId="2" borderId="11" xfId="0" applyNumberFormat="1" applyFill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0" xfId="0" applyNumberFormat="1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2" borderId="15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center" vertical="center"/>
    </xf>
    <xf numFmtId="0" fontId="4" fillId="3" borderId="2" xfId="0" applyNumberFormat="1" applyFont="1" applyFill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5" borderId="3" xfId="0" applyNumberFormat="1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0" xfId="0" applyNumberFormat="1" applyBorder="1">
      <alignment vertical="center"/>
    </xf>
    <xf numFmtId="0" fontId="0" fillId="0" borderId="18" xfId="0" applyNumberFormat="1" applyBorder="1" applyAlignment="1">
      <alignment horizontal="left" vertical="center"/>
    </xf>
    <xf numFmtId="0" fontId="0" fillId="0" borderId="18" xfId="0" applyNumberFormat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5" borderId="4" xfId="0" applyNumberFormat="1" applyFill="1" applyBorder="1" applyAlignment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0" fontId="0" fillId="2" borderId="6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2" xfId="0" applyNumberFormat="1" applyFill="1" applyBorder="1" applyAlignment="1">
      <alignment horizontal="center" vertical="center"/>
    </xf>
    <xf numFmtId="0" fontId="0" fillId="4" borderId="1" xfId="0" applyNumberFormat="1" applyFill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0" fillId="2" borderId="8" xfId="0" applyNumberForma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2" borderId="9" xfId="0" applyNumberFormat="1" applyFill="1" applyBorder="1" applyAlignment="1">
      <alignment horizontal="center" vertical="center"/>
    </xf>
    <xf numFmtId="0" fontId="0" fillId="5" borderId="8" xfId="0" applyNumberFormat="1" applyFill="1" applyBorder="1" applyAlignment="1">
      <alignment horizontal="center" vertical="center"/>
    </xf>
    <xf numFmtId="0" fontId="0" fillId="5" borderId="2" xfId="0" applyNumberFormat="1" applyFill="1" applyBorder="1" applyAlignment="1">
      <alignment horizontal="center" vertical="center"/>
    </xf>
    <xf numFmtId="0" fontId="0" fillId="5" borderId="9" xfId="0" applyNumberForma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5" borderId="4" xfId="0" applyNumberFormat="1" applyFill="1" applyBorder="1" applyAlignment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0" fontId="0" fillId="2" borderId="6" xfId="0" applyNumberFormat="1" applyFill="1" applyBorder="1" applyAlignment="1">
      <alignment horizontal="center" vertical="center"/>
    </xf>
    <xf numFmtId="0" fontId="0" fillId="2" borderId="12" xfId="0" applyNumberFormat="1" applyFill="1" applyBorder="1" applyAlignment="1">
      <alignment horizontal="center" vertical="center"/>
    </xf>
    <xf numFmtId="0" fontId="0" fillId="2" borderId="17" xfId="0" applyNumberFormat="1" applyFill="1" applyBorder="1" applyAlignment="1">
      <alignment horizontal="center" vertical="center"/>
    </xf>
    <xf numFmtId="0" fontId="0" fillId="2" borderId="14" xfId="0" applyNumberFormat="1" applyFill="1" applyBorder="1" applyAlignment="1">
      <alignment horizontal="center" vertical="center"/>
    </xf>
    <xf numFmtId="0" fontId="0" fillId="2" borderId="16" xfId="0" applyNumberFormat="1" applyFill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30480</xdr:rowOff>
        </xdr:from>
        <xdr:to>
          <xdr:col>3</xdr:col>
          <xdr:colOff>586740</xdr:colOff>
          <xdr:row>0</xdr:row>
          <xdr:rowOff>297180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수집리스트 옮기기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617220</xdr:colOff>
          <xdr:row>0</xdr:row>
          <xdr:rowOff>22860</xdr:rowOff>
        </xdr:from>
        <xdr:to>
          <xdr:col>4</xdr:col>
          <xdr:colOff>1417320</xdr:colOff>
          <xdr:row>0</xdr:row>
          <xdr:rowOff>297180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편집데이터 가져오기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15240</xdr:rowOff>
        </xdr:from>
        <xdr:to>
          <xdr:col>3</xdr:col>
          <xdr:colOff>15240</xdr:colOff>
          <xdr:row>0</xdr:row>
          <xdr:rowOff>312420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수집리스트 전부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342900</xdr:rowOff>
        </xdr:from>
        <xdr:to>
          <xdr:col>3</xdr:col>
          <xdr:colOff>655320</xdr:colOff>
          <xdr:row>2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워커명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2613660</xdr:colOff>
          <xdr:row>0</xdr:row>
          <xdr:rowOff>342900</xdr:rowOff>
        </xdr:from>
        <xdr:to>
          <xdr:col>6</xdr:col>
          <xdr:colOff>22860</xdr:colOff>
          <xdr:row>2</xdr:row>
          <xdr:rowOff>22860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제출일자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이 준상" id="{D6F21668-1735-47EE-B1E5-B19AD712A58F}" userId="62074131d4f5e0fe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2" dT="2022-10-08T04:48:56.44" personId="{D6F21668-1735-47EE-B1E5-B19AD712A58F}" id="{9F82553D-5E54-46F6-A5AD-C66A43B032CD}">
    <text>각 검수자의 번호를 입력하면 표 안의 검수자명이 자동입력됩니다</text>
  </threadedComment>
  <threadedComment ref="G2" dT="2022-10-08T11:01:28.42" personId="{D6F21668-1735-47EE-B1E5-B19AD712A58F}" id="{FB1BE862-01CE-49A6-BD10-1E9F73997453}" parentId="{9F82553D-5E54-46F6-A5AD-C66A43B032CD}">
    <text>디폴트 값으로 가장 많이 검수하는 찬희씨 이름을 넣었습니다.</text>
  </threadedComment>
  <threadedComment ref="I2" dT="2022-10-08T04:49:14.34" personId="{D6F21668-1735-47EE-B1E5-B19AD712A58F}" id="{6EEE3E94-4161-4049-9B75-561CC044DC43}">
    <text>검수월을 입력합니다</text>
  </threadedComment>
  <threadedComment ref="J2" dT="2022-10-08T04:49:28.20" personId="{D6F21668-1735-47EE-B1E5-B19AD712A58F}" id="{5456D384-8F02-4168-A015-631811874497}">
    <text>검수일을 입력합니다</text>
  </threadedComment>
  <threadedComment ref="J3" dT="2022-10-08T04:52:37.04" personId="{D6F21668-1735-47EE-B1E5-B19AD712A58F}" id="{C0DDE846-7CAA-4AD8-9C6D-9B7018E1F643}">
    <text>기본적으로 편집데이터&gt;파일명이 입력되면 적합으로 바뀝니다.</text>
  </threadedComment>
  <threadedComment ref="K3" dT="2022-10-08T04:50:59.33" personId="{D6F21668-1735-47EE-B1E5-B19AD712A58F}" id="{F57233AF-E747-4FA1-A4F7-DD8450407FA1}">
    <text>부적합 사유를 입력하면 적합여부가 부적합으로 바뀝니다.</text>
  </threadedComment>
  <threadedComment ref="K3" dT="2022-10-08T05:06:04.34" personId="{D6F21668-1735-47EE-B1E5-B19AD712A58F}" id="{23C120B3-05C7-490C-83A5-85EFD431F670}" parentId="{F57233AF-E747-4FA1-A4F7-DD8450407FA1}">
    <text>다만, 적합이지만 메모를 남기고 싶은 경우, 내용 가장 앞 부분에 +를 붙이면 적합으로 유지한 채 메모를 남길 수 있습니다.</text>
  </threadedComment>
  <threadedComment ref="L3" dT="2022-10-08T04:50:37.92" personId="{D6F21668-1735-47EE-B1E5-B19AD712A58F}" id="{3B6B2DA0-76CA-40C9-8736-E305DDFA7DFF}">
    <text>A그룹은 적합/부적합 각각 550/440
나머지는 각각 700/560 적용</text>
  </threadedComment>
  <threadedComment ref="H4" dT="2022-10-08T04:56:05.07" personId="{D6F21668-1735-47EE-B1E5-B19AD712A58F}" id="{08236DFC-03D7-4275-934D-7CBD722F662A}">
    <text xml:space="preserve">00_00_000_220000_001_SS
위 형식에 맞게 첫번째 파일명을 입력하면
005까지 자동으로 입력됩니다.
다만, 5개가 안 되는 경우에는 다음 파일명을 입력하고 잘라내어 위로 한칸씩 옮기는 수밖에 없습니다.
워커들이 5개씩 보내주길 바랄 수밖에요.
정 안 되면 전부 "수동입력"하시면 됩니다 ^^ </text>
  </threadedComment>
  <threadedComment ref="H4" dT="2022-10-08T05:00:37.40" personId="{D6F21668-1735-47EE-B1E5-B19AD712A58F}" id="{524E0FA8-A418-48DE-B12E-02BB7A654F36}" parentId="{08236DFC-03D7-4275-934D-7CBD722F662A}">
    <text>행 자체를 지우면 수식이 고장나니 참고 바랍니다</text>
  </threadedComment>
  <threadedComment ref="I4" dT="2022-10-08T06:12:58.96" personId="{D6F21668-1735-47EE-B1E5-B19AD712A58F}" id="{B550804E-4FF4-4C32-AFF3-811091FBA553}">
    <text>검수일자에 Ctrl + ; 를 입력하면 자동으로 오늘 날짜가 입력됩니다</text>
  </threadedComment>
  <threadedComment ref="I4" dT="2022-10-09T02:08:52.27" personId="{D6F21668-1735-47EE-B1E5-B19AD712A58F}" id="{78A32FD7-3541-47CC-9531-100E7E735633}" parentId="{B550804E-4FF4-4C32-AFF3-811091FBA553}">
    <text>위의 월 일 각각 입력하는 칸을 이용하셔도 됩니다.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9"/>
  <sheetViews>
    <sheetView zoomScaleNormal="100" workbookViewId="0">
      <selection activeCell="L6" sqref="L6"/>
    </sheetView>
  </sheetViews>
  <sheetFormatPr defaultRowHeight="17.399999999999999"/>
  <cols>
    <col min="1" max="1" width="16.69921875" style="15" customWidth="1"/>
    <col min="2" max="2" width="5" style="13" bestFit="1" customWidth="1"/>
    <col min="3" max="3" width="8.796875" style="9"/>
    <col min="4" max="4" width="8.69921875" style="15" customWidth="1"/>
    <col min="5" max="5" width="24.69921875" style="13" customWidth="1"/>
    <col min="6" max="6" width="12.69921875" style="22" customWidth="1"/>
    <col min="7" max="7" width="11.09765625" style="24" bestFit="1" customWidth="1"/>
    <col min="8" max="8" width="24.69921875" style="13" customWidth="1"/>
    <col min="9" max="9" width="12.69921875" style="26" customWidth="1"/>
    <col min="10" max="10" width="8.69921875" style="24" customWidth="1"/>
    <col min="11" max="11" width="36.59765625" style="13" bestFit="1" customWidth="1"/>
    <col min="12" max="12" width="8.69921875" style="28" customWidth="1"/>
  </cols>
  <sheetData>
    <row r="1" spans="1:13" s="29" customFormat="1" ht="27.6">
      <c r="A1" s="46" t="s">
        <v>13</v>
      </c>
      <c r="B1" s="46"/>
      <c r="C1" s="47"/>
      <c r="D1" s="47"/>
      <c r="E1" s="47"/>
      <c r="F1" s="47"/>
      <c r="G1" s="47"/>
      <c r="H1" s="47"/>
      <c r="I1" s="47"/>
      <c r="J1" s="47"/>
      <c r="K1" s="47"/>
    </row>
    <row r="2" spans="1:13" s="19" customFormat="1">
      <c r="A2" s="21"/>
      <c r="B2" s="21"/>
      <c r="C2" s="21"/>
      <c r="D2" s="21"/>
      <c r="E2" s="21" t="s">
        <v>14</v>
      </c>
      <c r="F2" s="30" t="s">
        <v>16</v>
      </c>
      <c r="G2" s="21"/>
      <c r="H2" s="31" t="s">
        <v>15</v>
      </c>
      <c r="I2" s="21">
        <v>10</v>
      </c>
      <c r="J2" s="21">
        <v>14</v>
      </c>
      <c r="K2" s="21"/>
      <c r="L2" s="21"/>
    </row>
    <row r="3" spans="1:13" s="6" customFormat="1">
      <c r="A3" s="49" t="s">
        <v>0</v>
      </c>
      <c r="B3" s="54" t="s">
        <v>6</v>
      </c>
      <c r="C3" s="50" t="s">
        <v>4</v>
      </c>
      <c r="D3" s="48" t="s">
        <v>1</v>
      </c>
      <c r="E3" s="49"/>
      <c r="F3" s="50"/>
      <c r="G3" s="51" t="s">
        <v>12</v>
      </c>
      <c r="H3" s="52"/>
      <c r="I3" s="53"/>
      <c r="J3" s="51" t="s">
        <v>11</v>
      </c>
      <c r="K3" s="52" t="s">
        <v>10</v>
      </c>
      <c r="L3" s="44" t="s">
        <v>9</v>
      </c>
      <c r="M3" s="5" t="s">
        <v>311</v>
      </c>
    </row>
    <row r="4" spans="1:13" s="6" customFormat="1" ht="18" thickBot="1">
      <c r="A4" s="58"/>
      <c r="B4" s="55"/>
      <c r="C4" s="59"/>
      <c r="D4" s="8" t="s">
        <v>2</v>
      </c>
      <c r="E4" s="42" t="s">
        <v>3</v>
      </c>
      <c r="F4" s="14" t="s">
        <v>5</v>
      </c>
      <c r="G4" s="40" t="s">
        <v>8</v>
      </c>
      <c r="H4" s="41" t="s">
        <v>3</v>
      </c>
      <c r="I4" s="25" t="s">
        <v>7</v>
      </c>
      <c r="J4" s="56"/>
      <c r="K4" s="57"/>
      <c r="L4" s="45"/>
      <c r="M4" s="39">
        <f>SUM(L:L)</f>
        <v>0</v>
      </c>
    </row>
    <row r="5" spans="1:13" s="6" customFormat="1" ht="18" thickTop="1">
      <c r="A5" s="20"/>
      <c r="B5" s="2"/>
      <c r="C5" s="4"/>
      <c r="D5" s="7"/>
      <c r="E5" s="23"/>
      <c r="F5" s="3"/>
      <c r="G5" s="24" t="str">
        <f>IF(OR(G2=0, LEFT(G2,1)="박"), "박찬희",IF(OR(G2=1,LEFT(G2,1)="전"),"전지실",IF(OR(G2=2,LEFT(G2,1)="한"),"한정택",IF(OR(G2=3,LEFT(G2,1)="이"), "이준상", G2))))</f>
        <v>박찬희</v>
      </c>
      <c r="H5" s="13"/>
      <c r="I5" s="26" t="str">
        <f>"22"&amp;IF(LEN(I2)=1,0&amp;I2,I2)&amp;IF(LEN(J2)=1,0&amp;J2,J2)</f>
        <v>221014</v>
      </c>
      <c r="J5" s="24"/>
      <c r="K5" s="13"/>
      <c r="L5" s="27">
        <f>IF(LEFT(C5, 1)="A", 550, IF(LEFT(C5, 1) = "B", 700, IF(LEFT(C5, 1) = "C", 900,IF(LEFT(C5, 1) = "D", 1200, 0))))*IF(J5 = "적합", 1, IF(J5 = "부적합", 0.8, 0))</f>
        <v>0</v>
      </c>
    </row>
    <row r="6" spans="1:13">
      <c r="B6" s="37"/>
      <c r="G6" s="24" t="str">
        <f>G5</f>
        <v>박찬희</v>
      </c>
      <c r="I6" s="26" t="str">
        <f>I5</f>
        <v>221014</v>
      </c>
      <c r="L6" s="27">
        <f>IF(LEFT(C6, 1)="A", 550, IF(LEFT(C6, 1) = "B", 700, IF(LEFT(C6, 1) = "C", 900,IF(LEFT(C6, 1) = "D", 240, 0))))*IF(J6 = "적합", 1, IF(J6 = "부적합", 0.8, 0))</f>
        <v>0</v>
      </c>
    </row>
    <row r="7" spans="1:13">
      <c r="B7" s="37"/>
    </row>
    <row r="8" spans="1:13">
      <c r="B8" s="37"/>
    </row>
    <row r="9" spans="1:13">
      <c r="B9" s="37"/>
    </row>
    <row r="10" spans="1:13">
      <c r="B10" s="37"/>
    </row>
    <row r="11" spans="1:13">
      <c r="B11" s="37"/>
    </row>
    <row r="12" spans="1:13">
      <c r="B12" s="37"/>
    </row>
    <row r="13" spans="1:13">
      <c r="B13" s="37"/>
    </row>
    <row r="14" spans="1:13">
      <c r="B14" s="37"/>
    </row>
    <row r="15" spans="1:13">
      <c r="B15" s="37"/>
    </row>
    <row r="16" spans="1:13">
      <c r="B16" s="37"/>
    </row>
    <row r="17" spans="2:2">
      <c r="B17" s="37"/>
    </row>
    <row r="18" spans="2:2">
      <c r="B18" s="37"/>
    </row>
    <row r="19" spans="2:2">
      <c r="B19" s="37"/>
    </row>
    <row r="20" spans="2:2">
      <c r="B20" s="37"/>
    </row>
    <row r="21" spans="2:2">
      <c r="B21" s="37"/>
    </row>
    <row r="22" spans="2:2">
      <c r="B22" s="37"/>
    </row>
    <row r="23" spans="2:2">
      <c r="B23" s="37"/>
    </row>
    <row r="24" spans="2:2">
      <c r="B24" s="37"/>
    </row>
    <row r="25" spans="2:2">
      <c r="B25" s="37"/>
    </row>
    <row r="26" spans="2:2">
      <c r="B26" s="37"/>
    </row>
    <row r="27" spans="2:2">
      <c r="B27" s="37"/>
    </row>
    <row r="28" spans="2:2">
      <c r="B28" s="37"/>
    </row>
    <row r="29" spans="2:2">
      <c r="B29" s="37"/>
    </row>
    <row r="30" spans="2:2">
      <c r="B30" s="37"/>
    </row>
    <row r="31" spans="2:2">
      <c r="B31" s="37"/>
    </row>
    <row r="32" spans="2:2">
      <c r="B32" s="37"/>
    </row>
    <row r="33" spans="2:2">
      <c r="B33" s="37"/>
    </row>
    <row r="34" spans="2:2">
      <c r="B34" s="37"/>
    </row>
    <row r="35" spans="2:2">
      <c r="B35" s="37"/>
    </row>
    <row r="36" spans="2:2">
      <c r="B36" s="37"/>
    </row>
    <row r="37" spans="2:2">
      <c r="B37" s="37"/>
    </row>
    <row r="38" spans="2:2">
      <c r="B38" s="37"/>
    </row>
    <row r="39" spans="2:2">
      <c r="B39" s="37"/>
    </row>
  </sheetData>
  <mergeCells count="9">
    <mergeCell ref="L3:L4"/>
    <mergeCell ref="A1:K1"/>
    <mergeCell ref="D3:F3"/>
    <mergeCell ref="G3:I3"/>
    <mergeCell ref="B3:B4"/>
    <mergeCell ref="J3:J4"/>
    <mergeCell ref="K3:K4"/>
    <mergeCell ref="A3:A4"/>
    <mergeCell ref="C3:C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Sheet2.CollecterToChecker">
                <anchor moveWithCells="1">
                  <from>
                    <xdr:col>1</xdr:col>
                    <xdr:colOff>38100</xdr:colOff>
                    <xdr:row>0</xdr:row>
                    <xdr:rowOff>30480</xdr:rowOff>
                  </from>
                  <to>
                    <xdr:col>3</xdr:col>
                    <xdr:colOff>586740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Sheet2.GetCheckedFileName">
                <anchor moveWithCells="1" sizeWithCells="1">
                  <from>
                    <xdr:col>3</xdr:col>
                    <xdr:colOff>617220</xdr:colOff>
                    <xdr:row>0</xdr:row>
                    <xdr:rowOff>22860</xdr:rowOff>
                  </from>
                  <to>
                    <xdr:col>4</xdr:col>
                    <xdr:colOff>1417320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9"/>
  <sheetViews>
    <sheetView tabSelected="1" workbookViewId="0">
      <selection activeCell="E4" sqref="E4"/>
    </sheetView>
  </sheetViews>
  <sheetFormatPr defaultRowHeight="17.399999999999999"/>
  <cols>
    <col min="1" max="1" width="16.5" style="15" bestFit="1" customWidth="1"/>
    <col min="2" max="2" width="7.59765625" style="12" bestFit="1" customWidth="1"/>
    <col min="3" max="3" width="8.796875" style="9"/>
    <col min="4" max="4" width="8.796875" style="15"/>
    <col min="5" max="5" width="34.69921875" style="12" customWidth="1"/>
    <col min="6" max="6" width="8.796875" style="9"/>
    <col min="7" max="7" width="8.796875" style="1"/>
  </cols>
  <sheetData>
    <row r="1" spans="1:7" s="18" customFormat="1" ht="27.6">
      <c r="A1" s="46" t="s">
        <v>24</v>
      </c>
      <c r="B1" s="46"/>
      <c r="C1" s="47"/>
      <c r="D1" s="47"/>
      <c r="E1" s="47"/>
      <c r="F1" s="47"/>
      <c r="G1" s="17"/>
    </row>
    <row r="2" spans="1:7" s="18" customFormat="1" ht="18" thickBot="1">
      <c r="A2" s="19"/>
      <c r="B2" s="19" t="str">
        <f>"합계 : "&amp;COUNTA(A5:A10000)</f>
        <v>합계 : 0</v>
      </c>
      <c r="C2" s="19"/>
      <c r="D2" s="19"/>
      <c r="E2" s="19"/>
      <c r="F2" s="19"/>
      <c r="G2" s="17"/>
    </row>
    <row r="3" spans="1:7">
      <c r="A3" s="61" t="s">
        <v>23</v>
      </c>
      <c r="B3" s="63" t="s">
        <v>22</v>
      </c>
      <c r="C3" s="62" t="s">
        <v>21</v>
      </c>
      <c r="D3" s="60" t="s">
        <v>20</v>
      </c>
      <c r="E3" s="61"/>
      <c r="F3" s="62"/>
    </row>
    <row r="4" spans="1:7">
      <c r="A4" s="65"/>
      <c r="B4" s="64"/>
      <c r="C4" s="66"/>
      <c r="D4" s="16" t="s">
        <v>19</v>
      </c>
      <c r="E4" s="10" t="s">
        <v>18</v>
      </c>
      <c r="F4" s="11" t="s">
        <v>17</v>
      </c>
    </row>
    <row r="5" spans="1:7" s="6" customFormat="1">
      <c r="A5" s="12"/>
      <c r="B5" s="12">
        <v>1</v>
      </c>
      <c r="C5" s="9"/>
      <c r="D5" s="15"/>
      <c r="E5" s="12"/>
      <c r="F5" s="9"/>
      <c r="G5" s="5"/>
    </row>
    <row r="6" spans="1:7">
      <c r="B6" s="38"/>
    </row>
    <row r="7" spans="1:7">
      <c r="B7" s="38"/>
    </row>
    <row r="8" spans="1:7">
      <c r="B8" s="38"/>
    </row>
    <row r="9" spans="1:7">
      <c r="B9" s="38"/>
    </row>
    <row r="10" spans="1:7">
      <c r="B10" s="38"/>
    </row>
    <row r="11" spans="1:7">
      <c r="B11" s="38"/>
    </row>
    <row r="12" spans="1:7">
      <c r="B12" s="38"/>
    </row>
    <row r="13" spans="1:7">
      <c r="B13" s="38"/>
    </row>
    <row r="14" spans="1:7">
      <c r="B14" s="38"/>
    </row>
    <row r="15" spans="1:7">
      <c r="B15" s="38"/>
    </row>
    <row r="16" spans="1:7">
      <c r="B16" s="38"/>
    </row>
    <row r="17" spans="2:2">
      <c r="B17" s="38"/>
    </row>
    <row r="18" spans="2:2">
      <c r="B18" s="38"/>
    </row>
    <row r="19" spans="2:2">
      <c r="B19" s="38"/>
    </row>
    <row r="20" spans="2:2">
      <c r="B20" s="38"/>
    </row>
    <row r="21" spans="2:2">
      <c r="B21" s="38"/>
    </row>
    <row r="22" spans="2:2">
      <c r="B22" s="38"/>
    </row>
    <row r="23" spans="2:2">
      <c r="B23" s="38"/>
    </row>
    <row r="24" spans="2:2">
      <c r="B24" s="38"/>
    </row>
    <row r="25" spans="2:2">
      <c r="B25" s="38"/>
    </row>
    <row r="26" spans="2:2">
      <c r="B26" s="38"/>
    </row>
    <row r="27" spans="2:2">
      <c r="B27" s="38"/>
    </row>
    <row r="28" spans="2:2">
      <c r="B28" s="38"/>
    </row>
    <row r="29" spans="2:2">
      <c r="B29" s="38"/>
    </row>
    <row r="30" spans="2:2">
      <c r="B30" s="38"/>
    </row>
    <row r="31" spans="2:2">
      <c r="B31" s="38"/>
    </row>
    <row r="32" spans="2:2">
      <c r="B32" s="38"/>
    </row>
    <row r="33" spans="2:2">
      <c r="B33" s="38"/>
    </row>
    <row r="34" spans="2:2">
      <c r="B34" s="38"/>
    </row>
    <row r="35" spans="2:2">
      <c r="B35" s="38"/>
    </row>
    <row r="36" spans="2:2">
      <c r="B36" s="38"/>
    </row>
    <row r="37" spans="2:2">
      <c r="B37" s="38"/>
    </row>
    <row r="38" spans="2:2">
      <c r="B38" s="38"/>
    </row>
    <row r="39" spans="2:2">
      <c r="B39" s="38"/>
    </row>
  </sheetData>
  <mergeCells count="5">
    <mergeCell ref="A1:F1"/>
    <mergeCell ref="D3:F3"/>
    <mergeCell ref="B3:B4"/>
    <mergeCell ref="A3:A4"/>
    <mergeCell ref="C3:C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GetCollectedFiles">
                <anchor moveWithCells="1" sizeWithCells="1">
                  <from>
                    <xdr:col>0</xdr:col>
                    <xdr:colOff>30480</xdr:colOff>
                    <xdr:row>0</xdr:row>
                    <xdr:rowOff>15240</xdr:rowOff>
                  </from>
                  <to>
                    <xdr:col>3</xdr:col>
                    <xdr:colOff>15240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eet1.GetWorkerName">
                <anchor moveWithCells="1" sizeWithCells="1">
                  <from>
                    <xdr:col>3</xdr:col>
                    <xdr:colOff>45720</xdr:colOff>
                    <xdr:row>0</xdr:row>
                    <xdr:rowOff>342900</xdr:rowOff>
                  </from>
                  <to>
                    <xdr:col>3</xdr:col>
                    <xdr:colOff>655320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Sheet1.GetDayFromTitle">
                <anchor moveWithCells="1" sizeWithCells="1">
                  <from>
                    <xdr:col>4</xdr:col>
                    <xdr:colOff>2613660</xdr:colOff>
                    <xdr:row>0</xdr:row>
                    <xdr:rowOff>342900</xdr:rowOff>
                  </from>
                  <to>
                    <xdr:col>6</xdr:col>
                    <xdr:colOff>22860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E239"/>
  <sheetViews>
    <sheetView zoomScale="85" zoomScaleNormal="85" workbookViewId="0">
      <selection activeCell="D37" sqref="D37"/>
    </sheetView>
  </sheetViews>
  <sheetFormatPr defaultRowHeight="17.399999999999999"/>
  <cols>
    <col min="1" max="1" width="26" customWidth="1"/>
    <col min="2" max="2" width="5" bestFit="1" customWidth="1"/>
    <col min="3" max="3" width="31.09765625" style="32" bestFit="1" customWidth="1"/>
    <col min="4" max="4" width="6.69921875" style="1" customWidth="1"/>
    <col min="5" max="5" width="9.5" customWidth="1"/>
  </cols>
  <sheetData>
    <row r="1" spans="1:5" ht="17.399999999999999" customHeight="1">
      <c r="A1" s="67" t="s">
        <v>284</v>
      </c>
      <c r="B1" s="67" t="s">
        <v>283</v>
      </c>
      <c r="C1" s="69" t="s">
        <v>282</v>
      </c>
      <c r="D1" s="67" t="s">
        <v>281</v>
      </c>
      <c r="E1" s="67" t="s">
        <v>280</v>
      </c>
    </row>
    <row r="2" spans="1:5" hidden="1">
      <c r="A2" s="68"/>
      <c r="B2" s="68"/>
      <c r="C2" s="68"/>
      <c r="D2" s="68"/>
      <c r="E2" s="68"/>
    </row>
    <row r="3" spans="1:5" hidden="1">
      <c r="A3" s="34" t="s">
        <v>46</v>
      </c>
      <c r="B3" s="34">
        <v>1</v>
      </c>
      <c r="C3" s="36" t="s">
        <v>279</v>
      </c>
      <c r="D3" s="34" t="s">
        <v>176</v>
      </c>
      <c r="E3" s="34" t="s">
        <v>271</v>
      </c>
    </row>
    <row r="4" spans="1:5" hidden="1">
      <c r="A4" s="34" t="s">
        <v>46</v>
      </c>
      <c r="B4" s="33">
        <v>2</v>
      </c>
      <c r="C4" s="35" t="s">
        <v>285</v>
      </c>
      <c r="D4" s="34" t="s">
        <v>176</v>
      </c>
      <c r="E4" s="33" t="s">
        <v>271</v>
      </c>
    </row>
    <row r="5" spans="1:5" hidden="1">
      <c r="A5" s="34" t="s">
        <v>34</v>
      </c>
      <c r="B5" s="34">
        <v>3</v>
      </c>
      <c r="C5" s="35" t="s">
        <v>278</v>
      </c>
      <c r="D5" s="34" t="s">
        <v>176</v>
      </c>
      <c r="E5" s="33" t="s">
        <v>271</v>
      </c>
    </row>
    <row r="6" spans="1:5" hidden="1">
      <c r="A6" s="34" t="s">
        <v>34</v>
      </c>
      <c r="B6" s="33">
        <v>4</v>
      </c>
      <c r="C6" s="35" t="s">
        <v>277</v>
      </c>
      <c r="D6" s="34" t="s">
        <v>176</v>
      </c>
      <c r="E6" s="33" t="s">
        <v>271</v>
      </c>
    </row>
    <row r="7" spans="1:5" hidden="1">
      <c r="A7" s="34" t="s">
        <v>34</v>
      </c>
      <c r="B7" s="34">
        <v>5</v>
      </c>
      <c r="C7" s="35" t="s">
        <v>276</v>
      </c>
      <c r="D7" s="34" t="s">
        <v>176</v>
      </c>
      <c r="E7" s="33" t="s">
        <v>271</v>
      </c>
    </row>
    <row r="8" spans="1:5" hidden="1">
      <c r="A8" s="34" t="s">
        <v>34</v>
      </c>
      <c r="B8" s="33">
        <v>6</v>
      </c>
      <c r="C8" s="35" t="s">
        <v>275</v>
      </c>
      <c r="D8" s="34" t="s">
        <v>176</v>
      </c>
      <c r="E8" s="33" t="s">
        <v>271</v>
      </c>
    </row>
    <row r="9" spans="1:5" hidden="1">
      <c r="A9" s="34" t="s">
        <v>34</v>
      </c>
      <c r="B9" s="34">
        <v>7</v>
      </c>
      <c r="C9" s="35" t="s">
        <v>274</v>
      </c>
      <c r="D9" s="34" t="s">
        <v>176</v>
      </c>
      <c r="E9" s="33" t="s">
        <v>271</v>
      </c>
    </row>
    <row r="10" spans="1:5" hidden="1">
      <c r="A10" s="34" t="s">
        <v>34</v>
      </c>
      <c r="B10" s="33">
        <v>8</v>
      </c>
      <c r="C10" s="35" t="s">
        <v>273</v>
      </c>
      <c r="D10" s="34" t="s">
        <v>176</v>
      </c>
      <c r="E10" s="33" t="s">
        <v>271</v>
      </c>
    </row>
    <row r="11" spans="1:5" hidden="1">
      <c r="A11" s="34" t="s">
        <v>34</v>
      </c>
      <c r="B11" s="34">
        <v>9</v>
      </c>
      <c r="C11" s="35" t="s">
        <v>272</v>
      </c>
      <c r="D11" s="34" t="s">
        <v>176</v>
      </c>
      <c r="E11" s="33" t="s">
        <v>271</v>
      </c>
    </row>
    <row r="12" spans="1:5" hidden="1">
      <c r="A12" s="34" t="s">
        <v>34</v>
      </c>
      <c r="B12" s="33">
        <v>10</v>
      </c>
      <c r="C12" s="35" t="s">
        <v>286</v>
      </c>
      <c r="D12" s="34" t="s">
        <v>176</v>
      </c>
      <c r="E12" s="33" t="s">
        <v>271</v>
      </c>
    </row>
    <row r="13" spans="1:5" hidden="1">
      <c r="A13" s="34" t="s">
        <v>46</v>
      </c>
      <c r="B13" s="34">
        <v>11</v>
      </c>
      <c r="C13" s="35" t="s">
        <v>270</v>
      </c>
      <c r="D13" s="34" t="s">
        <v>176</v>
      </c>
      <c r="E13" s="33" t="s">
        <v>262</v>
      </c>
    </row>
    <row r="14" spans="1:5" hidden="1">
      <c r="A14" s="34" t="s">
        <v>34</v>
      </c>
      <c r="B14" s="33">
        <v>12</v>
      </c>
      <c r="C14" s="35" t="s">
        <v>269</v>
      </c>
      <c r="D14" s="34" t="s">
        <v>176</v>
      </c>
      <c r="E14" s="33" t="s">
        <v>262</v>
      </c>
    </row>
    <row r="15" spans="1:5" hidden="1">
      <c r="A15" s="34" t="s">
        <v>34</v>
      </c>
      <c r="B15" s="34">
        <v>13</v>
      </c>
      <c r="C15" s="35" t="s">
        <v>268</v>
      </c>
      <c r="D15" s="34" t="s">
        <v>176</v>
      </c>
      <c r="E15" s="33" t="s">
        <v>262</v>
      </c>
    </row>
    <row r="16" spans="1:5" hidden="1">
      <c r="A16" s="34" t="s">
        <v>34</v>
      </c>
      <c r="B16" s="33">
        <v>14</v>
      </c>
      <c r="C16" s="35" t="s">
        <v>267</v>
      </c>
      <c r="D16" s="34" t="s">
        <v>176</v>
      </c>
      <c r="E16" s="33" t="s">
        <v>262</v>
      </c>
    </row>
    <row r="17" spans="1:5" hidden="1">
      <c r="A17" s="34" t="s">
        <v>34</v>
      </c>
      <c r="B17" s="34">
        <v>15</v>
      </c>
      <c r="C17" s="35" t="s">
        <v>266</v>
      </c>
      <c r="D17" s="34" t="s">
        <v>176</v>
      </c>
      <c r="E17" s="33" t="s">
        <v>262</v>
      </c>
    </row>
    <row r="18" spans="1:5" hidden="1">
      <c r="A18" s="34" t="s">
        <v>34</v>
      </c>
      <c r="B18" s="33">
        <v>16</v>
      </c>
      <c r="C18" s="35" t="s">
        <v>287</v>
      </c>
      <c r="D18" s="34" t="s">
        <v>176</v>
      </c>
      <c r="E18" s="33" t="s">
        <v>262</v>
      </c>
    </row>
    <row r="19" spans="1:5" hidden="1">
      <c r="A19" s="34" t="s">
        <v>313</v>
      </c>
      <c r="B19" s="34">
        <v>17</v>
      </c>
      <c r="C19" s="35" t="s">
        <v>265</v>
      </c>
      <c r="D19" s="34" t="s">
        <v>176</v>
      </c>
      <c r="E19" s="33" t="s">
        <v>262</v>
      </c>
    </row>
    <row r="20" spans="1:5">
      <c r="A20" s="34" t="s">
        <v>312</v>
      </c>
      <c r="B20" s="33">
        <v>18</v>
      </c>
      <c r="C20" s="35" t="s">
        <v>264</v>
      </c>
      <c r="D20" s="34" t="s">
        <v>176</v>
      </c>
      <c r="E20" s="33" t="s">
        <v>262</v>
      </c>
    </row>
    <row r="21" spans="1:5">
      <c r="A21" s="34" t="s">
        <v>289</v>
      </c>
      <c r="B21" s="34">
        <v>19</v>
      </c>
      <c r="C21" s="35" t="s">
        <v>288</v>
      </c>
      <c r="D21" s="34" t="s">
        <v>176</v>
      </c>
      <c r="E21" s="33" t="s">
        <v>262</v>
      </c>
    </row>
    <row r="22" spans="1:5">
      <c r="A22" s="34" t="s">
        <v>55</v>
      </c>
      <c r="B22" s="33">
        <v>20</v>
      </c>
      <c r="C22" s="35" t="s">
        <v>263</v>
      </c>
      <c r="D22" s="34" t="s">
        <v>176</v>
      </c>
      <c r="E22" s="33" t="s">
        <v>262</v>
      </c>
    </row>
    <row r="23" spans="1:5" hidden="1">
      <c r="A23" s="34" t="s">
        <v>46</v>
      </c>
      <c r="B23" s="34">
        <v>21</v>
      </c>
      <c r="C23" s="35" t="s">
        <v>261</v>
      </c>
      <c r="D23" s="34" t="s">
        <v>176</v>
      </c>
      <c r="E23" s="33" t="s">
        <v>252</v>
      </c>
    </row>
    <row r="24" spans="1:5">
      <c r="A24" s="34" t="s">
        <v>55</v>
      </c>
      <c r="B24" s="33">
        <v>22</v>
      </c>
      <c r="C24" s="35" t="s">
        <v>260</v>
      </c>
      <c r="D24" s="34" t="s">
        <v>176</v>
      </c>
      <c r="E24" s="33" t="s">
        <v>252</v>
      </c>
    </row>
    <row r="25" spans="1:5">
      <c r="A25" s="34" t="s">
        <v>55</v>
      </c>
      <c r="B25" s="34">
        <v>23</v>
      </c>
      <c r="C25" s="35" t="s">
        <v>259</v>
      </c>
      <c r="D25" s="34" t="s">
        <v>176</v>
      </c>
      <c r="E25" s="33" t="s">
        <v>252</v>
      </c>
    </row>
    <row r="26" spans="1:5">
      <c r="A26" s="34" t="s">
        <v>55</v>
      </c>
      <c r="B26" s="33">
        <v>24</v>
      </c>
      <c r="C26" s="35" t="s">
        <v>258</v>
      </c>
      <c r="D26" s="34" t="s">
        <v>176</v>
      </c>
      <c r="E26" s="33" t="s">
        <v>252</v>
      </c>
    </row>
    <row r="27" spans="1:5">
      <c r="A27" s="34" t="s">
        <v>55</v>
      </c>
      <c r="B27" s="34">
        <v>25</v>
      </c>
      <c r="C27" s="35" t="s">
        <v>257</v>
      </c>
      <c r="D27" s="34" t="s">
        <v>176</v>
      </c>
      <c r="E27" s="33" t="s">
        <v>252</v>
      </c>
    </row>
    <row r="28" spans="1:5">
      <c r="A28" s="34" t="s">
        <v>55</v>
      </c>
      <c r="B28" s="33">
        <v>26</v>
      </c>
      <c r="C28" s="35" t="s">
        <v>306</v>
      </c>
      <c r="D28" s="34" t="s">
        <v>176</v>
      </c>
      <c r="E28" s="33" t="s">
        <v>252</v>
      </c>
    </row>
    <row r="29" spans="1:5">
      <c r="A29" s="34" t="s">
        <v>55</v>
      </c>
      <c r="B29" s="34">
        <v>27</v>
      </c>
      <c r="C29" s="35" t="s">
        <v>256</v>
      </c>
      <c r="D29" s="34" t="s">
        <v>176</v>
      </c>
      <c r="E29" s="33" t="s">
        <v>252</v>
      </c>
    </row>
    <row r="30" spans="1:5">
      <c r="A30" s="34" t="s">
        <v>55</v>
      </c>
      <c r="B30" s="33">
        <v>28</v>
      </c>
      <c r="C30" s="35" t="s">
        <v>255</v>
      </c>
      <c r="D30" s="34" t="s">
        <v>176</v>
      </c>
      <c r="E30" s="33" t="s">
        <v>252</v>
      </c>
    </row>
    <row r="31" spans="1:5">
      <c r="A31" s="33" t="s">
        <v>55</v>
      </c>
      <c r="B31" s="34">
        <v>29</v>
      </c>
      <c r="C31" s="35" t="s">
        <v>254</v>
      </c>
      <c r="D31" s="34" t="s">
        <v>176</v>
      </c>
      <c r="E31" s="33" t="s">
        <v>252</v>
      </c>
    </row>
    <row r="32" spans="1:5">
      <c r="A32" s="33" t="s">
        <v>55</v>
      </c>
      <c r="B32" s="33">
        <v>30</v>
      </c>
      <c r="C32" s="35" t="s">
        <v>253</v>
      </c>
      <c r="D32" s="34" t="s">
        <v>176</v>
      </c>
      <c r="E32" s="33" t="s">
        <v>252</v>
      </c>
    </row>
    <row r="33" spans="1:5" hidden="1">
      <c r="A33" s="33" t="s">
        <v>46</v>
      </c>
      <c r="B33" s="34">
        <v>31</v>
      </c>
      <c r="C33" s="35" t="s">
        <v>251</v>
      </c>
      <c r="D33" s="34" t="s">
        <v>176</v>
      </c>
      <c r="E33" s="33" t="s">
        <v>241</v>
      </c>
    </row>
    <row r="34" spans="1:5">
      <c r="A34" s="33" t="s">
        <v>55</v>
      </c>
      <c r="B34" s="33">
        <v>32</v>
      </c>
      <c r="C34" s="35" t="s">
        <v>250</v>
      </c>
      <c r="D34" s="34" t="s">
        <v>176</v>
      </c>
      <c r="E34" s="33" t="s">
        <v>241</v>
      </c>
    </row>
    <row r="35" spans="1:5">
      <c r="A35" s="33" t="s">
        <v>55</v>
      </c>
      <c r="B35" s="34">
        <v>33</v>
      </c>
      <c r="C35" s="35" t="s">
        <v>249</v>
      </c>
      <c r="D35" s="34" t="s">
        <v>176</v>
      </c>
      <c r="E35" s="33" t="s">
        <v>241</v>
      </c>
    </row>
    <row r="36" spans="1:5">
      <c r="A36" s="33" t="s">
        <v>55</v>
      </c>
      <c r="B36" s="33">
        <v>34</v>
      </c>
      <c r="C36" s="35" t="s">
        <v>248</v>
      </c>
      <c r="D36" s="34" t="s">
        <v>176</v>
      </c>
      <c r="E36" s="33" t="s">
        <v>241</v>
      </c>
    </row>
    <row r="37" spans="1:5">
      <c r="A37" s="33" t="s">
        <v>55</v>
      </c>
      <c r="B37" s="34">
        <v>35</v>
      </c>
      <c r="C37" s="35" t="s">
        <v>247</v>
      </c>
      <c r="D37" s="34" t="s">
        <v>176</v>
      </c>
      <c r="E37" s="33" t="s">
        <v>241</v>
      </c>
    </row>
    <row r="38" spans="1:5">
      <c r="A38" s="33" t="s">
        <v>55</v>
      </c>
      <c r="B38" s="33">
        <v>36</v>
      </c>
      <c r="C38" s="35" t="s">
        <v>246</v>
      </c>
      <c r="D38" s="34" t="s">
        <v>176</v>
      </c>
      <c r="E38" s="33" t="s">
        <v>241</v>
      </c>
    </row>
    <row r="39" spans="1:5">
      <c r="A39" s="33" t="s">
        <v>55</v>
      </c>
      <c r="B39" s="34">
        <v>37</v>
      </c>
      <c r="C39" s="35" t="s">
        <v>245</v>
      </c>
      <c r="D39" s="34" t="s">
        <v>176</v>
      </c>
      <c r="E39" s="33" t="s">
        <v>241</v>
      </c>
    </row>
    <row r="40" spans="1:5">
      <c r="A40" s="33" t="s">
        <v>55</v>
      </c>
      <c r="B40" s="33">
        <v>38</v>
      </c>
      <c r="C40" s="35" t="s">
        <v>244</v>
      </c>
      <c r="D40" s="34" t="s">
        <v>176</v>
      </c>
      <c r="E40" s="33" t="s">
        <v>241</v>
      </c>
    </row>
    <row r="41" spans="1:5">
      <c r="A41" s="33" t="s">
        <v>55</v>
      </c>
      <c r="B41" s="34">
        <v>39</v>
      </c>
      <c r="C41" s="35" t="s">
        <v>243</v>
      </c>
      <c r="D41" s="34" t="s">
        <v>176</v>
      </c>
      <c r="E41" s="33" t="s">
        <v>241</v>
      </c>
    </row>
    <row r="42" spans="1:5">
      <c r="A42" s="33" t="s">
        <v>55</v>
      </c>
      <c r="B42" s="33">
        <v>40</v>
      </c>
      <c r="C42" s="35" t="s">
        <v>242</v>
      </c>
      <c r="D42" s="34" t="s">
        <v>176</v>
      </c>
      <c r="E42" s="33" t="s">
        <v>241</v>
      </c>
    </row>
    <row r="43" spans="1:5" hidden="1">
      <c r="A43" s="33" t="s">
        <v>46</v>
      </c>
      <c r="B43" s="34">
        <v>41</v>
      </c>
      <c r="C43" s="35" t="s">
        <v>240</v>
      </c>
      <c r="D43" s="34" t="s">
        <v>176</v>
      </c>
      <c r="E43" s="33" t="s">
        <v>231</v>
      </c>
    </row>
    <row r="44" spans="1:5">
      <c r="A44" s="33" t="s">
        <v>55</v>
      </c>
      <c r="B44" s="33">
        <v>42</v>
      </c>
      <c r="C44" s="35" t="s">
        <v>239</v>
      </c>
      <c r="D44" s="34" t="s">
        <v>176</v>
      </c>
      <c r="E44" s="33" t="s">
        <v>231</v>
      </c>
    </row>
    <row r="45" spans="1:5">
      <c r="A45" s="33" t="s">
        <v>55</v>
      </c>
      <c r="B45" s="34">
        <v>43</v>
      </c>
      <c r="C45" s="35" t="s">
        <v>238</v>
      </c>
      <c r="D45" s="34" t="s">
        <v>176</v>
      </c>
      <c r="E45" s="33" t="s">
        <v>231</v>
      </c>
    </row>
    <row r="46" spans="1:5">
      <c r="A46" s="33" t="s">
        <v>55</v>
      </c>
      <c r="B46" s="33">
        <v>44</v>
      </c>
      <c r="C46" s="35" t="s">
        <v>237</v>
      </c>
      <c r="D46" s="34" t="s">
        <v>176</v>
      </c>
      <c r="E46" s="33" t="s">
        <v>231</v>
      </c>
    </row>
    <row r="47" spans="1:5">
      <c r="A47" s="33" t="s">
        <v>55</v>
      </c>
      <c r="B47" s="34">
        <v>45</v>
      </c>
      <c r="C47" s="35" t="s">
        <v>236</v>
      </c>
      <c r="D47" s="34" t="s">
        <v>176</v>
      </c>
      <c r="E47" s="33" t="s">
        <v>231</v>
      </c>
    </row>
    <row r="48" spans="1:5">
      <c r="A48" s="33" t="s">
        <v>55</v>
      </c>
      <c r="B48" s="33">
        <v>46</v>
      </c>
      <c r="C48" s="35" t="s">
        <v>235</v>
      </c>
      <c r="D48" s="34" t="s">
        <v>176</v>
      </c>
      <c r="E48" s="33" t="s">
        <v>231</v>
      </c>
    </row>
    <row r="49" spans="1:5">
      <c r="A49" s="33" t="s">
        <v>55</v>
      </c>
      <c r="B49" s="34">
        <v>47</v>
      </c>
      <c r="C49" s="35" t="s">
        <v>234</v>
      </c>
      <c r="D49" s="34" t="s">
        <v>176</v>
      </c>
      <c r="E49" s="33" t="s">
        <v>231</v>
      </c>
    </row>
    <row r="50" spans="1:5">
      <c r="A50" s="33" t="s">
        <v>55</v>
      </c>
      <c r="B50" s="33">
        <v>48</v>
      </c>
      <c r="C50" s="35" t="s">
        <v>233</v>
      </c>
      <c r="D50" s="34" t="s">
        <v>176</v>
      </c>
      <c r="E50" s="33" t="s">
        <v>231</v>
      </c>
    </row>
    <row r="51" spans="1:5">
      <c r="A51" s="33" t="s">
        <v>55</v>
      </c>
      <c r="B51" s="34">
        <v>49</v>
      </c>
      <c r="C51" s="35" t="s">
        <v>307</v>
      </c>
      <c r="D51" s="34" t="s">
        <v>176</v>
      </c>
      <c r="E51" s="33" t="s">
        <v>231</v>
      </c>
    </row>
    <row r="52" spans="1:5">
      <c r="A52" s="33" t="s">
        <v>55</v>
      </c>
      <c r="B52" s="33">
        <v>50</v>
      </c>
      <c r="C52" s="35" t="s">
        <v>232</v>
      </c>
      <c r="D52" s="34" t="s">
        <v>176</v>
      </c>
      <c r="E52" s="33" t="s">
        <v>231</v>
      </c>
    </row>
    <row r="53" spans="1:5" hidden="1">
      <c r="A53" s="33" t="s">
        <v>34</v>
      </c>
      <c r="B53" s="34">
        <v>51</v>
      </c>
      <c r="C53" s="35" t="s">
        <v>230</v>
      </c>
      <c r="D53" s="34" t="s">
        <v>176</v>
      </c>
      <c r="E53" s="33" t="s">
        <v>221</v>
      </c>
    </row>
    <row r="54" spans="1:5" hidden="1">
      <c r="A54" s="33" t="s">
        <v>34</v>
      </c>
      <c r="B54" s="33">
        <v>52</v>
      </c>
      <c r="C54" s="35" t="s">
        <v>229</v>
      </c>
      <c r="D54" s="34" t="s">
        <v>176</v>
      </c>
      <c r="E54" s="33" t="s">
        <v>221</v>
      </c>
    </row>
    <row r="55" spans="1:5" hidden="1">
      <c r="A55" s="33" t="s">
        <v>34</v>
      </c>
      <c r="B55" s="34">
        <v>53</v>
      </c>
      <c r="C55" s="35" t="s">
        <v>228</v>
      </c>
      <c r="D55" s="34" t="s">
        <v>176</v>
      </c>
      <c r="E55" s="33" t="s">
        <v>221</v>
      </c>
    </row>
    <row r="56" spans="1:5" hidden="1">
      <c r="A56" s="33" t="s">
        <v>34</v>
      </c>
      <c r="B56" s="33">
        <v>54</v>
      </c>
      <c r="C56" s="35" t="s">
        <v>227</v>
      </c>
      <c r="D56" s="34" t="s">
        <v>176</v>
      </c>
      <c r="E56" s="33" t="s">
        <v>221</v>
      </c>
    </row>
    <row r="57" spans="1:5" hidden="1">
      <c r="A57" s="33" t="s">
        <v>34</v>
      </c>
      <c r="B57" s="34">
        <v>55</v>
      </c>
      <c r="C57" s="35" t="s">
        <v>226</v>
      </c>
      <c r="D57" s="34" t="s">
        <v>176</v>
      </c>
      <c r="E57" s="33" t="s">
        <v>221</v>
      </c>
    </row>
    <row r="58" spans="1:5" hidden="1">
      <c r="A58" s="33" t="s">
        <v>34</v>
      </c>
      <c r="B58" s="33">
        <v>56</v>
      </c>
      <c r="C58" s="35" t="s">
        <v>225</v>
      </c>
      <c r="D58" s="34" t="s">
        <v>176</v>
      </c>
      <c r="E58" s="33" t="s">
        <v>221</v>
      </c>
    </row>
    <row r="59" spans="1:5" hidden="1">
      <c r="A59" s="33" t="s">
        <v>34</v>
      </c>
      <c r="B59" s="34">
        <v>57</v>
      </c>
      <c r="C59" s="35" t="s">
        <v>224</v>
      </c>
      <c r="D59" s="34" t="s">
        <v>176</v>
      </c>
      <c r="E59" s="33" t="s">
        <v>221</v>
      </c>
    </row>
    <row r="60" spans="1:5" hidden="1">
      <c r="A60" s="33" t="s">
        <v>34</v>
      </c>
      <c r="B60" s="33">
        <v>58</v>
      </c>
      <c r="C60" s="35" t="s">
        <v>223</v>
      </c>
      <c r="D60" s="34" t="s">
        <v>176</v>
      </c>
      <c r="E60" s="33" t="s">
        <v>221</v>
      </c>
    </row>
    <row r="61" spans="1:5" hidden="1">
      <c r="A61" s="33" t="s">
        <v>34</v>
      </c>
      <c r="B61" s="34">
        <v>59</v>
      </c>
      <c r="C61" s="35" t="s">
        <v>290</v>
      </c>
      <c r="D61" s="34" t="s">
        <v>176</v>
      </c>
      <c r="E61" s="33" t="s">
        <v>221</v>
      </c>
    </row>
    <row r="62" spans="1:5" hidden="1">
      <c r="A62" s="33" t="s">
        <v>34</v>
      </c>
      <c r="B62" s="33">
        <v>60</v>
      </c>
      <c r="C62" s="35" t="s">
        <v>222</v>
      </c>
      <c r="D62" s="34" t="s">
        <v>176</v>
      </c>
      <c r="E62" s="33" t="s">
        <v>221</v>
      </c>
    </row>
    <row r="63" spans="1:5" hidden="1">
      <c r="A63" s="33" t="s">
        <v>46</v>
      </c>
      <c r="B63" s="34">
        <v>61</v>
      </c>
      <c r="C63" s="35" t="s">
        <v>220</v>
      </c>
      <c r="D63" s="34" t="s">
        <v>176</v>
      </c>
      <c r="E63" s="33" t="s">
        <v>210</v>
      </c>
    </row>
    <row r="64" spans="1:5" hidden="1">
      <c r="A64" s="33" t="s">
        <v>34</v>
      </c>
      <c r="B64" s="33">
        <v>62</v>
      </c>
      <c r="C64" s="35" t="s">
        <v>219</v>
      </c>
      <c r="D64" s="34" t="s">
        <v>176</v>
      </c>
      <c r="E64" s="33" t="s">
        <v>210</v>
      </c>
    </row>
    <row r="65" spans="1:5" hidden="1">
      <c r="A65" s="33" t="s">
        <v>34</v>
      </c>
      <c r="B65" s="34">
        <v>63</v>
      </c>
      <c r="C65" s="35" t="s">
        <v>291</v>
      </c>
      <c r="D65" s="34" t="s">
        <v>176</v>
      </c>
      <c r="E65" s="33" t="s">
        <v>210</v>
      </c>
    </row>
    <row r="66" spans="1:5" hidden="1">
      <c r="A66" s="33" t="s">
        <v>34</v>
      </c>
      <c r="B66" s="33">
        <v>64</v>
      </c>
      <c r="C66" s="35" t="s">
        <v>218</v>
      </c>
      <c r="D66" s="34" t="s">
        <v>176</v>
      </c>
      <c r="E66" s="33" t="s">
        <v>210</v>
      </c>
    </row>
    <row r="67" spans="1:5" hidden="1">
      <c r="A67" s="33" t="s">
        <v>34</v>
      </c>
      <c r="B67" s="34">
        <v>65</v>
      </c>
      <c r="C67" s="35" t="s">
        <v>217</v>
      </c>
      <c r="D67" s="34" t="s">
        <v>176</v>
      </c>
      <c r="E67" s="33" t="s">
        <v>210</v>
      </c>
    </row>
    <row r="68" spans="1:5" hidden="1">
      <c r="A68" s="33" t="s">
        <v>34</v>
      </c>
      <c r="B68" s="33">
        <v>66</v>
      </c>
      <c r="C68" s="35" t="s">
        <v>216</v>
      </c>
      <c r="D68" s="34" t="s">
        <v>176</v>
      </c>
      <c r="E68" s="33" t="s">
        <v>210</v>
      </c>
    </row>
    <row r="69" spans="1:5">
      <c r="A69" s="33" t="s">
        <v>55</v>
      </c>
      <c r="B69" s="34">
        <v>67</v>
      </c>
      <c r="C69" s="35" t="s">
        <v>215</v>
      </c>
      <c r="D69" s="34" t="s">
        <v>176</v>
      </c>
      <c r="E69" s="33" t="s">
        <v>214</v>
      </c>
    </row>
    <row r="70" spans="1:5">
      <c r="A70" s="33" t="s">
        <v>55</v>
      </c>
      <c r="B70" s="33">
        <v>68</v>
      </c>
      <c r="C70" s="35" t="s">
        <v>213</v>
      </c>
      <c r="D70" s="34" t="s">
        <v>176</v>
      </c>
      <c r="E70" s="33" t="s">
        <v>210</v>
      </c>
    </row>
    <row r="71" spans="1:5">
      <c r="A71" s="33" t="s">
        <v>55</v>
      </c>
      <c r="B71" s="34">
        <v>69</v>
      </c>
      <c r="C71" s="35" t="s">
        <v>212</v>
      </c>
      <c r="D71" s="34" t="s">
        <v>176</v>
      </c>
      <c r="E71" s="33" t="s">
        <v>210</v>
      </c>
    </row>
    <row r="72" spans="1:5">
      <c r="A72" s="33" t="s">
        <v>55</v>
      </c>
      <c r="B72" s="33">
        <v>70</v>
      </c>
      <c r="C72" s="35" t="s">
        <v>211</v>
      </c>
      <c r="D72" s="34" t="s">
        <v>176</v>
      </c>
      <c r="E72" s="33" t="s">
        <v>210</v>
      </c>
    </row>
    <row r="73" spans="1:5" hidden="1">
      <c r="A73" s="33" t="s">
        <v>46</v>
      </c>
      <c r="B73" s="34">
        <v>71</v>
      </c>
      <c r="C73" s="35" t="s">
        <v>209</v>
      </c>
      <c r="D73" s="34" t="s">
        <v>176</v>
      </c>
      <c r="E73" s="33" t="s">
        <v>201</v>
      </c>
    </row>
    <row r="74" spans="1:5">
      <c r="A74" s="33" t="s">
        <v>55</v>
      </c>
      <c r="B74" s="33">
        <v>72</v>
      </c>
      <c r="C74" s="35" t="s">
        <v>208</v>
      </c>
      <c r="D74" s="34" t="s">
        <v>176</v>
      </c>
      <c r="E74" s="33" t="s">
        <v>201</v>
      </c>
    </row>
    <row r="75" spans="1:5">
      <c r="A75" s="33" t="s">
        <v>55</v>
      </c>
      <c r="B75" s="34">
        <v>73</v>
      </c>
      <c r="C75" s="35" t="s">
        <v>207</v>
      </c>
      <c r="D75" s="34" t="s">
        <v>176</v>
      </c>
      <c r="E75" s="33" t="s">
        <v>201</v>
      </c>
    </row>
    <row r="76" spans="1:5">
      <c r="A76" s="33" t="s">
        <v>55</v>
      </c>
      <c r="B76" s="33">
        <v>74</v>
      </c>
      <c r="C76" s="35" t="s">
        <v>206</v>
      </c>
      <c r="D76" s="34" t="s">
        <v>176</v>
      </c>
      <c r="E76" s="33" t="s">
        <v>201</v>
      </c>
    </row>
    <row r="77" spans="1:5">
      <c r="A77" s="33" t="s">
        <v>55</v>
      </c>
      <c r="B77" s="34">
        <v>75</v>
      </c>
      <c r="C77" s="35" t="s">
        <v>205</v>
      </c>
      <c r="D77" s="34" t="s">
        <v>192</v>
      </c>
      <c r="E77" s="33" t="s">
        <v>201</v>
      </c>
    </row>
    <row r="78" spans="1:5">
      <c r="A78" s="33" t="s">
        <v>55</v>
      </c>
      <c r="B78" s="33">
        <v>76</v>
      </c>
      <c r="C78" s="35" t="s">
        <v>308</v>
      </c>
      <c r="D78" s="34" t="s">
        <v>176</v>
      </c>
      <c r="E78" s="33" t="s">
        <v>201</v>
      </c>
    </row>
    <row r="79" spans="1:5">
      <c r="A79" s="33" t="s">
        <v>55</v>
      </c>
      <c r="B79" s="34">
        <v>77</v>
      </c>
      <c r="C79" s="35" t="s">
        <v>309</v>
      </c>
      <c r="D79" s="34" t="s">
        <v>176</v>
      </c>
      <c r="E79" s="33" t="s">
        <v>201</v>
      </c>
    </row>
    <row r="80" spans="1:5">
      <c r="A80" s="33" t="s">
        <v>55</v>
      </c>
      <c r="B80" s="33">
        <v>78</v>
      </c>
      <c r="C80" s="35" t="s">
        <v>204</v>
      </c>
      <c r="D80" s="34" t="s">
        <v>176</v>
      </c>
      <c r="E80" s="33" t="s">
        <v>201</v>
      </c>
    </row>
    <row r="81" spans="1:5">
      <c r="A81" s="33" t="s">
        <v>55</v>
      </c>
      <c r="B81" s="34">
        <v>79</v>
      </c>
      <c r="C81" s="35" t="s">
        <v>203</v>
      </c>
      <c r="D81" s="34" t="s">
        <v>176</v>
      </c>
      <c r="E81" s="33" t="s">
        <v>201</v>
      </c>
    </row>
    <row r="82" spans="1:5">
      <c r="A82" s="33" t="s">
        <v>55</v>
      </c>
      <c r="B82" s="33">
        <v>80</v>
      </c>
      <c r="C82" s="35" t="s">
        <v>202</v>
      </c>
      <c r="D82" s="34" t="s">
        <v>176</v>
      </c>
      <c r="E82" s="33" t="s">
        <v>201</v>
      </c>
    </row>
    <row r="83" spans="1:5" hidden="1">
      <c r="A83" s="33" t="s">
        <v>46</v>
      </c>
      <c r="B83" s="34">
        <v>81</v>
      </c>
      <c r="C83" s="35" t="s">
        <v>200</v>
      </c>
      <c r="D83" s="34" t="s">
        <v>176</v>
      </c>
      <c r="E83" s="33" t="s">
        <v>188</v>
      </c>
    </row>
    <row r="84" spans="1:5">
      <c r="A84" s="33" t="s">
        <v>55</v>
      </c>
      <c r="B84" s="33">
        <v>82</v>
      </c>
      <c r="C84" s="35" t="s">
        <v>199</v>
      </c>
      <c r="D84" s="34" t="s">
        <v>176</v>
      </c>
      <c r="E84" s="33" t="s">
        <v>188</v>
      </c>
    </row>
    <row r="85" spans="1:5">
      <c r="A85" s="33" t="s">
        <v>55</v>
      </c>
      <c r="B85" s="34">
        <v>83</v>
      </c>
      <c r="C85" s="35" t="s">
        <v>198</v>
      </c>
      <c r="D85" s="34" t="s">
        <v>176</v>
      </c>
      <c r="E85" s="33" t="s">
        <v>188</v>
      </c>
    </row>
    <row r="86" spans="1:5">
      <c r="A86" s="33" t="s">
        <v>55</v>
      </c>
      <c r="B86" s="33">
        <v>84</v>
      </c>
      <c r="C86" s="35" t="s">
        <v>197</v>
      </c>
      <c r="D86" s="34" t="s">
        <v>176</v>
      </c>
      <c r="E86" s="33" t="s">
        <v>188</v>
      </c>
    </row>
    <row r="87" spans="1:5">
      <c r="A87" s="33" t="s">
        <v>55</v>
      </c>
      <c r="B87" s="34">
        <v>85</v>
      </c>
      <c r="C87" s="35" t="s">
        <v>196</v>
      </c>
      <c r="D87" s="34" t="s">
        <v>176</v>
      </c>
      <c r="E87" s="33" t="s">
        <v>195</v>
      </c>
    </row>
    <row r="88" spans="1:5">
      <c r="A88" s="33" t="s">
        <v>55</v>
      </c>
      <c r="B88" s="33">
        <v>86</v>
      </c>
      <c r="C88" s="35" t="s">
        <v>194</v>
      </c>
      <c r="D88" s="34" t="s">
        <v>176</v>
      </c>
      <c r="E88" s="33" t="s">
        <v>188</v>
      </c>
    </row>
    <row r="89" spans="1:5">
      <c r="A89" s="33" t="s">
        <v>55</v>
      </c>
      <c r="B89" s="34">
        <v>87</v>
      </c>
      <c r="C89" s="35" t="s">
        <v>193</v>
      </c>
      <c r="D89" s="34" t="s">
        <v>192</v>
      </c>
      <c r="E89" s="33" t="s">
        <v>188</v>
      </c>
    </row>
    <row r="90" spans="1:5">
      <c r="A90" s="33" t="s">
        <v>55</v>
      </c>
      <c r="B90" s="33">
        <v>88</v>
      </c>
      <c r="C90" s="35" t="s">
        <v>191</v>
      </c>
      <c r="D90" s="34" t="s">
        <v>176</v>
      </c>
      <c r="E90" s="33" t="s">
        <v>188</v>
      </c>
    </row>
    <row r="91" spans="1:5">
      <c r="A91" s="33" t="s">
        <v>55</v>
      </c>
      <c r="B91" s="34">
        <v>89</v>
      </c>
      <c r="C91" s="35" t="s">
        <v>190</v>
      </c>
      <c r="D91" s="34" t="s">
        <v>176</v>
      </c>
      <c r="E91" s="33" t="s">
        <v>188</v>
      </c>
    </row>
    <row r="92" spans="1:5">
      <c r="A92" s="33" t="s">
        <v>55</v>
      </c>
      <c r="B92" s="33">
        <v>90</v>
      </c>
      <c r="C92" s="35" t="s">
        <v>189</v>
      </c>
      <c r="D92" s="34" t="s">
        <v>185</v>
      </c>
      <c r="E92" s="33" t="s">
        <v>188</v>
      </c>
    </row>
    <row r="93" spans="1:5">
      <c r="A93" s="33" t="s">
        <v>55</v>
      </c>
      <c r="B93" s="34">
        <v>91</v>
      </c>
      <c r="C93" s="35" t="s">
        <v>187</v>
      </c>
      <c r="D93" s="34" t="s">
        <v>176</v>
      </c>
      <c r="E93" s="33" t="s">
        <v>175</v>
      </c>
    </row>
    <row r="94" spans="1:5">
      <c r="A94" s="33" t="s">
        <v>55</v>
      </c>
      <c r="B94" s="33">
        <v>92</v>
      </c>
      <c r="C94" s="35" t="s">
        <v>186</v>
      </c>
      <c r="D94" s="34" t="s">
        <v>185</v>
      </c>
      <c r="E94" s="33" t="s">
        <v>175</v>
      </c>
    </row>
    <row r="95" spans="1:5">
      <c r="A95" s="33" t="s">
        <v>55</v>
      </c>
      <c r="B95" s="34">
        <v>93</v>
      </c>
      <c r="C95" s="35" t="s">
        <v>184</v>
      </c>
      <c r="D95" s="34" t="s">
        <v>176</v>
      </c>
      <c r="E95" s="33" t="s">
        <v>175</v>
      </c>
    </row>
    <row r="96" spans="1:5">
      <c r="A96" s="33" t="s">
        <v>55</v>
      </c>
      <c r="B96" s="33">
        <v>94</v>
      </c>
      <c r="C96" s="35" t="s">
        <v>183</v>
      </c>
      <c r="D96" s="34" t="s">
        <v>176</v>
      </c>
      <c r="E96" s="33" t="s">
        <v>175</v>
      </c>
    </row>
    <row r="97" spans="1:5">
      <c r="A97" s="33" t="s">
        <v>55</v>
      </c>
      <c r="B97" s="34">
        <v>95</v>
      </c>
      <c r="C97" s="35" t="s">
        <v>182</v>
      </c>
      <c r="D97" s="34" t="s">
        <v>176</v>
      </c>
      <c r="E97" s="33" t="s">
        <v>175</v>
      </c>
    </row>
    <row r="98" spans="1:5">
      <c r="A98" s="33" t="s">
        <v>55</v>
      </c>
      <c r="B98" s="33">
        <v>96</v>
      </c>
      <c r="C98" s="35" t="s">
        <v>181</v>
      </c>
      <c r="D98" s="34" t="s">
        <v>176</v>
      </c>
      <c r="E98" s="33" t="s">
        <v>175</v>
      </c>
    </row>
    <row r="99" spans="1:5">
      <c r="A99" s="33" t="s">
        <v>55</v>
      </c>
      <c r="B99" s="34">
        <v>97</v>
      </c>
      <c r="C99" s="35" t="s">
        <v>180</v>
      </c>
      <c r="D99" s="34" t="s">
        <v>176</v>
      </c>
      <c r="E99" s="33" t="s">
        <v>175</v>
      </c>
    </row>
    <row r="100" spans="1:5">
      <c r="A100" s="33" t="s">
        <v>55</v>
      </c>
      <c r="B100" s="33">
        <v>98</v>
      </c>
      <c r="C100" s="35" t="s">
        <v>179</v>
      </c>
      <c r="D100" s="34" t="s">
        <v>176</v>
      </c>
      <c r="E100" s="33" t="s">
        <v>175</v>
      </c>
    </row>
    <row r="101" spans="1:5">
      <c r="A101" s="33" t="s">
        <v>55</v>
      </c>
      <c r="B101" s="34">
        <v>99</v>
      </c>
      <c r="C101" s="35" t="s">
        <v>178</v>
      </c>
      <c r="D101" s="34" t="s">
        <v>176</v>
      </c>
      <c r="E101" s="33" t="s">
        <v>175</v>
      </c>
    </row>
    <row r="102" spans="1:5">
      <c r="A102" s="33" t="s">
        <v>55</v>
      </c>
      <c r="B102" s="33">
        <v>100</v>
      </c>
      <c r="C102" s="35" t="s">
        <v>177</v>
      </c>
      <c r="D102" s="34" t="s">
        <v>176</v>
      </c>
      <c r="E102" s="33" t="s">
        <v>175</v>
      </c>
    </row>
    <row r="103" spans="1:5" hidden="1">
      <c r="A103" s="33" t="s">
        <v>46</v>
      </c>
      <c r="B103" s="34">
        <v>101</v>
      </c>
      <c r="C103" s="36" t="s">
        <v>174</v>
      </c>
      <c r="D103" s="34" t="s">
        <v>90</v>
      </c>
      <c r="E103" s="34" t="s">
        <v>164</v>
      </c>
    </row>
    <row r="104" spans="1:5" hidden="1">
      <c r="A104" s="33" t="s">
        <v>46</v>
      </c>
      <c r="B104" s="33">
        <v>102</v>
      </c>
      <c r="C104" s="35" t="s">
        <v>173</v>
      </c>
      <c r="D104" s="34" t="s">
        <v>90</v>
      </c>
      <c r="E104" s="33" t="s">
        <v>164</v>
      </c>
    </row>
    <row r="105" spans="1:5" hidden="1">
      <c r="A105" s="33" t="s">
        <v>46</v>
      </c>
      <c r="B105" s="34">
        <v>103</v>
      </c>
      <c r="C105" s="35" t="s">
        <v>172</v>
      </c>
      <c r="D105" s="34" t="s">
        <v>90</v>
      </c>
      <c r="E105" s="33" t="s">
        <v>164</v>
      </c>
    </row>
    <row r="106" spans="1:5" hidden="1">
      <c r="A106" s="33" t="s">
        <v>46</v>
      </c>
      <c r="B106" s="33">
        <v>104</v>
      </c>
      <c r="C106" s="35" t="s">
        <v>171</v>
      </c>
      <c r="D106" s="34" t="s">
        <v>90</v>
      </c>
      <c r="E106" s="33" t="s">
        <v>164</v>
      </c>
    </row>
    <row r="107" spans="1:5" hidden="1">
      <c r="A107" s="33" t="s">
        <v>46</v>
      </c>
      <c r="B107" s="34">
        <v>105</v>
      </c>
      <c r="C107" s="35" t="s">
        <v>170</v>
      </c>
      <c r="D107" s="34" t="s">
        <v>90</v>
      </c>
      <c r="E107" s="33" t="s">
        <v>164</v>
      </c>
    </row>
    <row r="108" spans="1:5" hidden="1">
      <c r="A108" s="33" t="s">
        <v>46</v>
      </c>
      <c r="B108" s="33">
        <v>106</v>
      </c>
      <c r="C108" s="35" t="s">
        <v>169</v>
      </c>
      <c r="D108" s="34" t="s">
        <v>90</v>
      </c>
      <c r="E108" s="33" t="s">
        <v>164</v>
      </c>
    </row>
    <row r="109" spans="1:5" hidden="1">
      <c r="A109" s="33" t="s">
        <v>34</v>
      </c>
      <c r="B109" s="34">
        <v>107</v>
      </c>
      <c r="C109" s="35" t="s">
        <v>168</v>
      </c>
      <c r="D109" s="34" t="s">
        <v>90</v>
      </c>
      <c r="E109" s="33" t="s">
        <v>164</v>
      </c>
    </row>
    <row r="110" spans="1:5" hidden="1">
      <c r="A110" s="33" t="s">
        <v>34</v>
      </c>
      <c r="B110" s="33">
        <v>108</v>
      </c>
      <c r="C110" s="35" t="s">
        <v>167</v>
      </c>
      <c r="D110" s="34" t="s">
        <v>90</v>
      </c>
      <c r="E110" s="33" t="s">
        <v>164</v>
      </c>
    </row>
    <row r="111" spans="1:5" hidden="1">
      <c r="A111" s="33" t="s">
        <v>34</v>
      </c>
      <c r="B111" s="34">
        <v>109</v>
      </c>
      <c r="C111" s="35" t="s">
        <v>166</v>
      </c>
      <c r="D111" s="34" t="s">
        <v>90</v>
      </c>
      <c r="E111" s="33" t="s">
        <v>164</v>
      </c>
    </row>
    <row r="112" spans="1:5" hidden="1">
      <c r="A112" s="33" t="s">
        <v>34</v>
      </c>
      <c r="B112" s="33">
        <v>110</v>
      </c>
      <c r="C112" s="35" t="s">
        <v>165</v>
      </c>
      <c r="D112" s="34" t="s">
        <v>90</v>
      </c>
      <c r="E112" s="33" t="s">
        <v>164</v>
      </c>
    </row>
    <row r="113" spans="1:5" hidden="1">
      <c r="A113" s="33" t="s">
        <v>34</v>
      </c>
      <c r="B113" s="34">
        <v>111</v>
      </c>
      <c r="C113" s="35" t="s">
        <v>163</v>
      </c>
      <c r="D113" s="34" t="s">
        <v>90</v>
      </c>
      <c r="E113" s="33" t="s">
        <v>153</v>
      </c>
    </row>
    <row r="114" spans="1:5" hidden="1">
      <c r="A114" s="33" t="s">
        <v>34</v>
      </c>
      <c r="B114" s="33">
        <v>112</v>
      </c>
      <c r="C114" s="35" t="s">
        <v>162</v>
      </c>
      <c r="D114" s="34" t="s">
        <v>90</v>
      </c>
      <c r="E114" s="33" t="s">
        <v>153</v>
      </c>
    </row>
    <row r="115" spans="1:5" hidden="1">
      <c r="A115" s="33" t="s">
        <v>34</v>
      </c>
      <c r="B115" s="34">
        <v>113</v>
      </c>
      <c r="C115" s="35" t="s">
        <v>161</v>
      </c>
      <c r="D115" s="34" t="s">
        <v>90</v>
      </c>
      <c r="E115" s="33" t="s">
        <v>153</v>
      </c>
    </row>
    <row r="116" spans="1:5" hidden="1">
      <c r="A116" s="33" t="s">
        <v>34</v>
      </c>
      <c r="B116" s="33">
        <v>114</v>
      </c>
      <c r="C116" s="35" t="s">
        <v>160</v>
      </c>
      <c r="D116" s="34" t="s">
        <v>90</v>
      </c>
      <c r="E116" s="33" t="s">
        <v>153</v>
      </c>
    </row>
    <row r="117" spans="1:5" hidden="1">
      <c r="A117" s="33" t="s">
        <v>34</v>
      </c>
      <c r="B117" s="34">
        <v>115</v>
      </c>
      <c r="C117" s="35" t="s">
        <v>159</v>
      </c>
      <c r="D117" s="34" t="s">
        <v>90</v>
      </c>
      <c r="E117" s="33" t="s">
        <v>153</v>
      </c>
    </row>
    <row r="118" spans="1:5" hidden="1">
      <c r="A118" s="33" t="s">
        <v>34</v>
      </c>
      <c r="B118" s="33">
        <v>116</v>
      </c>
      <c r="C118" s="35" t="s">
        <v>158</v>
      </c>
      <c r="D118" s="34" t="s">
        <v>90</v>
      </c>
      <c r="E118" s="33" t="s">
        <v>153</v>
      </c>
    </row>
    <row r="119" spans="1:5" hidden="1">
      <c r="A119" s="33" t="s">
        <v>34</v>
      </c>
      <c r="B119" s="34">
        <v>117</v>
      </c>
      <c r="C119" s="35" t="s">
        <v>157</v>
      </c>
      <c r="D119" s="34" t="s">
        <v>90</v>
      </c>
      <c r="E119" s="33" t="s">
        <v>153</v>
      </c>
    </row>
    <row r="120" spans="1:5" hidden="1">
      <c r="A120" s="33" t="s">
        <v>34</v>
      </c>
      <c r="B120" s="33">
        <v>118</v>
      </c>
      <c r="C120" s="35" t="s">
        <v>156</v>
      </c>
      <c r="D120" s="34" t="s">
        <v>90</v>
      </c>
      <c r="E120" s="33" t="s">
        <v>153</v>
      </c>
    </row>
    <row r="121" spans="1:5" hidden="1">
      <c r="A121" s="33" t="s">
        <v>34</v>
      </c>
      <c r="B121" s="34">
        <v>119</v>
      </c>
      <c r="C121" s="35" t="s">
        <v>155</v>
      </c>
      <c r="D121" s="34" t="s">
        <v>90</v>
      </c>
      <c r="E121" s="33" t="s">
        <v>153</v>
      </c>
    </row>
    <row r="122" spans="1:5" hidden="1">
      <c r="A122" s="33" t="s">
        <v>34</v>
      </c>
      <c r="B122" s="33">
        <v>120</v>
      </c>
      <c r="C122" s="35" t="s">
        <v>154</v>
      </c>
      <c r="D122" s="34" t="s">
        <v>90</v>
      </c>
      <c r="E122" s="33" t="s">
        <v>153</v>
      </c>
    </row>
    <row r="123" spans="1:5" hidden="1">
      <c r="A123" s="33" t="s">
        <v>42</v>
      </c>
      <c r="B123" s="34">
        <v>121</v>
      </c>
      <c r="C123" s="35" t="s">
        <v>152</v>
      </c>
      <c r="D123" s="34" t="s">
        <v>90</v>
      </c>
      <c r="E123" s="33" t="s">
        <v>142</v>
      </c>
    </row>
    <row r="124" spans="1:5">
      <c r="A124" s="33" t="s">
        <v>55</v>
      </c>
      <c r="B124" s="33">
        <v>122</v>
      </c>
      <c r="C124" s="35" t="s">
        <v>151</v>
      </c>
      <c r="D124" s="34" t="s">
        <v>90</v>
      </c>
      <c r="E124" s="33" t="s">
        <v>142</v>
      </c>
    </row>
    <row r="125" spans="1:5">
      <c r="A125" s="33" t="s">
        <v>55</v>
      </c>
      <c r="B125" s="34">
        <v>123</v>
      </c>
      <c r="C125" s="35" t="s">
        <v>150</v>
      </c>
      <c r="D125" s="34" t="s">
        <v>90</v>
      </c>
      <c r="E125" s="33" t="s">
        <v>142</v>
      </c>
    </row>
    <row r="126" spans="1:5">
      <c r="A126" s="33" t="s">
        <v>55</v>
      </c>
      <c r="B126" s="33">
        <v>124</v>
      </c>
      <c r="C126" s="35" t="s">
        <v>149</v>
      </c>
      <c r="D126" s="34" t="s">
        <v>90</v>
      </c>
      <c r="E126" s="33" t="s">
        <v>142</v>
      </c>
    </row>
    <row r="127" spans="1:5">
      <c r="A127" s="33" t="s">
        <v>55</v>
      </c>
      <c r="B127" s="34">
        <v>125</v>
      </c>
      <c r="C127" s="35" t="s">
        <v>148</v>
      </c>
      <c r="D127" s="34" t="s">
        <v>90</v>
      </c>
      <c r="E127" s="33" t="s">
        <v>142</v>
      </c>
    </row>
    <row r="128" spans="1:5">
      <c r="A128" s="33" t="s">
        <v>55</v>
      </c>
      <c r="B128" s="33">
        <v>126</v>
      </c>
      <c r="C128" s="35" t="s">
        <v>147</v>
      </c>
      <c r="D128" s="34" t="s">
        <v>90</v>
      </c>
      <c r="E128" s="33" t="s">
        <v>142</v>
      </c>
    </row>
    <row r="129" spans="1:5">
      <c r="A129" s="33" t="s">
        <v>55</v>
      </c>
      <c r="B129" s="34">
        <v>127</v>
      </c>
      <c r="C129" s="35" t="s">
        <v>146</v>
      </c>
      <c r="D129" s="34" t="s">
        <v>90</v>
      </c>
      <c r="E129" s="33" t="s">
        <v>142</v>
      </c>
    </row>
    <row r="130" spans="1:5">
      <c r="A130" s="33" t="s">
        <v>55</v>
      </c>
      <c r="B130" s="33">
        <v>128</v>
      </c>
      <c r="C130" s="35" t="s">
        <v>145</v>
      </c>
      <c r="D130" s="34" t="s">
        <v>90</v>
      </c>
      <c r="E130" s="33" t="s">
        <v>142</v>
      </c>
    </row>
    <row r="131" spans="1:5">
      <c r="A131" s="33" t="s">
        <v>28</v>
      </c>
      <c r="B131" s="34">
        <v>129</v>
      </c>
      <c r="C131" s="35" t="s">
        <v>144</v>
      </c>
      <c r="D131" s="34" t="s">
        <v>90</v>
      </c>
      <c r="E131" s="33" t="s">
        <v>142</v>
      </c>
    </row>
    <row r="132" spans="1:5">
      <c r="A132" s="33" t="s">
        <v>55</v>
      </c>
      <c r="B132" s="33">
        <v>130</v>
      </c>
      <c r="C132" s="35" t="s">
        <v>143</v>
      </c>
      <c r="D132" s="34" t="s">
        <v>90</v>
      </c>
      <c r="E132" s="33" t="s">
        <v>142</v>
      </c>
    </row>
    <row r="133" spans="1:5">
      <c r="A133" s="33" t="s">
        <v>55</v>
      </c>
      <c r="B133" s="34">
        <v>131</v>
      </c>
      <c r="C133" s="35" t="s">
        <v>141</v>
      </c>
      <c r="D133" s="34" t="s">
        <v>90</v>
      </c>
      <c r="E133" s="33" t="s">
        <v>131</v>
      </c>
    </row>
    <row r="134" spans="1:5">
      <c r="A134" s="33" t="s">
        <v>55</v>
      </c>
      <c r="B134" s="33">
        <v>132</v>
      </c>
      <c r="C134" s="35" t="s">
        <v>140</v>
      </c>
      <c r="D134" s="34" t="s">
        <v>90</v>
      </c>
      <c r="E134" s="33" t="s">
        <v>131</v>
      </c>
    </row>
    <row r="135" spans="1:5">
      <c r="A135" s="33" t="s">
        <v>55</v>
      </c>
      <c r="B135" s="34">
        <v>133</v>
      </c>
      <c r="C135" s="35" t="s">
        <v>139</v>
      </c>
      <c r="D135" s="34" t="s">
        <v>90</v>
      </c>
      <c r="E135" s="33" t="s">
        <v>131</v>
      </c>
    </row>
    <row r="136" spans="1:5">
      <c r="A136" s="33" t="s">
        <v>55</v>
      </c>
      <c r="B136" s="33">
        <v>134</v>
      </c>
      <c r="C136" s="35" t="s">
        <v>138</v>
      </c>
      <c r="D136" s="34" t="s">
        <v>90</v>
      </c>
      <c r="E136" s="33" t="s">
        <v>131</v>
      </c>
    </row>
    <row r="137" spans="1:5">
      <c r="A137" s="33" t="s">
        <v>55</v>
      </c>
      <c r="B137" s="34">
        <v>135</v>
      </c>
      <c r="C137" s="35" t="s">
        <v>137</v>
      </c>
      <c r="D137" s="34" t="s">
        <v>99</v>
      </c>
      <c r="E137" s="33" t="s">
        <v>131</v>
      </c>
    </row>
    <row r="138" spans="1:5">
      <c r="A138" s="33" t="s">
        <v>55</v>
      </c>
      <c r="B138" s="33">
        <v>136</v>
      </c>
      <c r="C138" s="35" t="s">
        <v>136</v>
      </c>
      <c r="D138" s="34" t="s">
        <v>90</v>
      </c>
      <c r="E138" s="33" t="s">
        <v>131</v>
      </c>
    </row>
    <row r="139" spans="1:5">
      <c r="A139" s="33" t="s">
        <v>55</v>
      </c>
      <c r="B139" s="34">
        <v>137</v>
      </c>
      <c r="C139" s="35" t="s">
        <v>135</v>
      </c>
      <c r="D139" s="34" t="s">
        <v>90</v>
      </c>
      <c r="E139" s="33" t="s">
        <v>131</v>
      </c>
    </row>
    <row r="140" spans="1:5">
      <c r="A140" s="33" t="s">
        <v>55</v>
      </c>
      <c r="B140" s="33">
        <v>138</v>
      </c>
      <c r="C140" s="35" t="s">
        <v>134</v>
      </c>
      <c r="D140" s="34" t="s">
        <v>90</v>
      </c>
      <c r="E140" s="33" t="s">
        <v>131</v>
      </c>
    </row>
    <row r="141" spans="1:5">
      <c r="A141" s="33" t="s">
        <v>55</v>
      </c>
      <c r="B141" s="34">
        <v>139</v>
      </c>
      <c r="C141" s="35" t="s">
        <v>133</v>
      </c>
      <c r="D141" s="34" t="s">
        <v>90</v>
      </c>
      <c r="E141" s="33" t="s">
        <v>131</v>
      </c>
    </row>
    <row r="142" spans="1:5">
      <c r="A142" s="33" t="s">
        <v>55</v>
      </c>
      <c r="B142" s="33">
        <v>140</v>
      </c>
      <c r="C142" s="35" t="s">
        <v>132</v>
      </c>
      <c r="D142" s="34" t="s">
        <v>90</v>
      </c>
      <c r="E142" s="33" t="s">
        <v>131</v>
      </c>
    </row>
    <row r="143" spans="1:5">
      <c r="A143" s="33" t="s">
        <v>55</v>
      </c>
      <c r="B143" s="34">
        <v>141</v>
      </c>
      <c r="C143" s="35" t="s">
        <v>130</v>
      </c>
      <c r="D143" s="34" t="s">
        <v>90</v>
      </c>
      <c r="E143" s="33" t="s">
        <v>121</v>
      </c>
    </row>
    <row r="144" spans="1:5">
      <c r="A144" s="33" t="s">
        <v>55</v>
      </c>
      <c r="B144" s="33">
        <v>142</v>
      </c>
      <c r="C144" s="35" t="s">
        <v>129</v>
      </c>
      <c r="D144" s="34" t="s">
        <v>90</v>
      </c>
      <c r="E144" s="33" t="s">
        <v>121</v>
      </c>
    </row>
    <row r="145" spans="1:5">
      <c r="A145" s="33" t="s">
        <v>55</v>
      </c>
      <c r="B145" s="34">
        <v>143</v>
      </c>
      <c r="C145" s="35" t="s">
        <v>128</v>
      </c>
      <c r="D145" s="34" t="s">
        <v>90</v>
      </c>
      <c r="E145" s="33" t="s">
        <v>121</v>
      </c>
    </row>
    <row r="146" spans="1:5">
      <c r="A146" s="33" t="s">
        <v>55</v>
      </c>
      <c r="B146" s="33">
        <v>144</v>
      </c>
      <c r="C146" s="35" t="s">
        <v>127</v>
      </c>
      <c r="D146" s="34" t="s">
        <v>90</v>
      </c>
      <c r="E146" s="33" t="s">
        <v>121</v>
      </c>
    </row>
    <row r="147" spans="1:5">
      <c r="A147" s="33" t="s">
        <v>55</v>
      </c>
      <c r="B147" s="34">
        <v>145</v>
      </c>
      <c r="C147" s="35" t="s">
        <v>126</v>
      </c>
      <c r="D147" s="34" t="s">
        <v>90</v>
      </c>
      <c r="E147" s="33" t="s">
        <v>121</v>
      </c>
    </row>
    <row r="148" spans="1:5">
      <c r="A148" s="33" t="s">
        <v>55</v>
      </c>
      <c r="B148" s="33">
        <v>146</v>
      </c>
      <c r="C148" s="35" t="s">
        <v>310</v>
      </c>
      <c r="D148" s="34" t="s">
        <v>90</v>
      </c>
      <c r="E148" s="33" t="s">
        <v>121</v>
      </c>
    </row>
    <row r="149" spans="1:5">
      <c r="A149" s="33" t="s">
        <v>55</v>
      </c>
      <c r="B149" s="34">
        <v>147</v>
      </c>
      <c r="C149" s="35" t="s">
        <v>125</v>
      </c>
      <c r="D149" s="34" t="s">
        <v>90</v>
      </c>
      <c r="E149" s="33" t="s">
        <v>121</v>
      </c>
    </row>
    <row r="150" spans="1:5">
      <c r="A150" s="33" t="s">
        <v>55</v>
      </c>
      <c r="B150" s="33">
        <v>148</v>
      </c>
      <c r="C150" s="35" t="s">
        <v>124</v>
      </c>
      <c r="D150" s="34" t="s">
        <v>90</v>
      </c>
      <c r="E150" s="33" t="s">
        <v>121</v>
      </c>
    </row>
    <row r="151" spans="1:5">
      <c r="A151" s="33" t="s">
        <v>55</v>
      </c>
      <c r="B151" s="34">
        <v>149</v>
      </c>
      <c r="C151" s="35" t="s">
        <v>123</v>
      </c>
      <c r="D151" s="34" t="s">
        <v>90</v>
      </c>
      <c r="E151" s="33" t="s">
        <v>121</v>
      </c>
    </row>
    <row r="152" spans="1:5">
      <c r="A152" s="33" t="s">
        <v>55</v>
      </c>
      <c r="B152" s="33">
        <v>150</v>
      </c>
      <c r="C152" s="35" t="s">
        <v>122</v>
      </c>
      <c r="D152" s="34" t="s">
        <v>90</v>
      </c>
      <c r="E152" s="33" t="s">
        <v>121</v>
      </c>
    </row>
    <row r="153" spans="1:5" hidden="1">
      <c r="A153" s="33" t="s">
        <v>46</v>
      </c>
      <c r="B153" s="34">
        <v>151</v>
      </c>
      <c r="C153" s="35" t="s">
        <v>120</v>
      </c>
      <c r="D153" s="34" t="s">
        <v>90</v>
      </c>
      <c r="E153" s="33" t="s">
        <v>111</v>
      </c>
    </row>
    <row r="154" spans="1:5" hidden="1">
      <c r="A154" s="33" t="s">
        <v>46</v>
      </c>
      <c r="B154" s="33">
        <v>152</v>
      </c>
      <c r="C154" s="35" t="s">
        <v>119</v>
      </c>
      <c r="D154" s="34" t="s">
        <v>90</v>
      </c>
      <c r="E154" s="33" t="s">
        <v>111</v>
      </c>
    </row>
    <row r="155" spans="1:5" hidden="1">
      <c r="A155" s="33" t="s">
        <v>46</v>
      </c>
      <c r="B155" s="34">
        <v>153</v>
      </c>
      <c r="C155" s="35" t="s">
        <v>118</v>
      </c>
      <c r="D155" s="34" t="s">
        <v>90</v>
      </c>
      <c r="E155" s="33" t="s">
        <v>111</v>
      </c>
    </row>
    <row r="156" spans="1:5" hidden="1">
      <c r="A156" s="33" t="s">
        <v>46</v>
      </c>
      <c r="B156" s="33">
        <v>154</v>
      </c>
      <c r="C156" s="35" t="s">
        <v>117</v>
      </c>
      <c r="D156" s="34" t="s">
        <v>90</v>
      </c>
      <c r="E156" s="33" t="s">
        <v>111</v>
      </c>
    </row>
    <row r="157" spans="1:5" hidden="1">
      <c r="A157" s="33" t="s">
        <v>46</v>
      </c>
      <c r="B157" s="34">
        <v>155</v>
      </c>
      <c r="C157" s="35" t="s">
        <v>116</v>
      </c>
      <c r="D157" s="34" t="s">
        <v>90</v>
      </c>
      <c r="E157" s="33" t="s">
        <v>111</v>
      </c>
    </row>
    <row r="158" spans="1:5" hidden="1">
      <c r="A158" s="33" t="s">
        <v>34</v>
      </c>
      <c r="B158" s="33">
        <v>156</v>
      </c>
      <c r="C158" s="35" t="s">
        <v>292</v>
      </c>
      <c r="D158" s="34" t="s">
        <v>90</v>
      </c>
      <c r="E158" s="33" t="s">
        <v>111</v>
      </c>
    </row>
    <row r="159" spans="1:5" hidden="1">
      <c r="A159" s="33" t="s">
        <v>34</v>
      </c>
      <c r="B159" s="34">
        <v>157</v>
      </c>
      <c r="C159" s="35" t="s">
        <v>115</v>
      </c>
      <c r="D159" s="34" t="s">
        <v>90</v>
      </c>
      <c r="E159" s="33" t="s">
        <v>111</v>
      </c>
    </row>
    <row r="160" spans="1:5" hidden="1">
      <c r="A160" s="33" t="s">
        <v>34</v>
      </c>
      <c r="B160" s="33">
        <v>158</v>
      </c>
      <c r="C160" s="35" t="s">
        <v>114</v>
      </c>
      <c r="D160" s="34" t="s">
        <v>90</v>
      </c>
      <c r="E160" s="33" t="s">
        <v>111</v>
      </c>
    </row>
    <row r="161" spans="1:5" hidden="1">
      <c r="A161" s="33" t="s">
        <v>34</v>
      </c>
      <c r="B161" s="34">
        <v>159</v>
      </c>
      <c r="C161" s="35" t="s">
        <v>113</v>
      </c>
      <c r="D161" s="34" t="s">
        <v>90</v>
      </c>
      <c r="E161" s="33" t="s">
        <v>111</v>
      </c>
    </row>
    <row r="162" spans="1:5" hidden="1">
      <c r="A162" s="33" t="s">
        <v>34</v>
      </c>
      <c r="B162" s="33">
        <v>160</v>
      </c>
      <c r="C162" s="35" t="s">
        <v>112</v>
      </c>
      <c r="D162" s="34" t="s">
        <v>90</v>
      </c>
      <c r="E162" s="33" t="s">
        <v>111</v>
      </c>
    </row>
    <row r="163" spans="1:5">
      <c r="A163" s="33" t="s">
        <v>28</v>
      </c>
      <c r="B163" s="34">
        <v>161</v>
      </c>
      <c r="C163" s="35" t="s">
        <v>110</v>
      </c>
      <c r="D163" s="34" t="s">
        <v>90</v>
      </c>
      <c r="E163" s="33" t="s">
        <v>102</v>
      </c>
    </row>
    <row r="164" spans="1:5" hidden="1">
      <c r="A164" s="33" t="s">
        <v>34</v>
      </c>
      <c r="B164" s="33">
        <v>162</v>
      </c>
      <c r="C164" s="35" t="s">
        <v>109</v>
      </c>
      <c r="D164" s="34" t="s">
        <v>90</v>
      </c>
      <c r="E164" s="33" t="s">
        <v>102</v>
      </c>
    </row>
    <row r="165" spans="1:5" hidden="1">
      <c r="A165" s="33" t="s">
        <v>34</v>
      </c>
      <c r="B165" s="34">
        <v>163</v>
      </c>
      <c r="C165" s="35" t="s">
        <v>293</v>
      </c>
      <c r="D165" s="34" t="s">
        <v>90</v>
      </c>
      <c r="E165" s="33" t="s">
        <v>102</v>
      </c>
    </row>
    <row r="166" spans="1:5" hidden="1">
      <c r="A166" s="33" t="s">
        <v>40</v>
      </c>
      <c r="B166" s="33">
        <v>164</v>
      </c>
      <c r="C166" s="35" t="s">
        <v>108</v>
      </c>
      <c r="D166" s="34" t="s">
        <v>90</v>
      </c>
      <c r="E166" s="33" t="s">
        <v>102</v>
      </c>
    </row>
    <row r="167" spans="1:5" hidden="1">
      <c r="A167" s="33" t="s">
        <v>34</v>
      </c>
      <c r="B167" s="34">
        <v>165</v>
      </c>
      <c r="C167" s="35" t="s">
        <v>107</v>
      </c>
      <c r="D167" s="34" t="s">
        <v>99</v>
      </c>
      <c r="E167" s="33" t="s">
        <v>102</v>
      </c>
    </row>
    <row r="168" spans="1:5" hidden="1">
      <c r="A168" s="33" t="s">
        <v>34</v>
      </c>
      <c r="B168" s="33">
        <v>166</v>
      </c>
      <c r="C168" s="35" t="s">
        <v>106</v>
      </c>
      <c r="D168" s="34" t="s">
        <v>90</v>
      </c>
      <c r="E168" s="33" t="s">
        <v>102</v>
      </c>
    </row>
    <row r="169" spans="1:5" hidden="1">
      <c r="A169" s="33" t="s">
        <v>34</v>
      </c>
      <c r="B169" s="34">
        <v>167</v>
      </c>
      <c r="C169" s="35" t="s">
        <v>105</v>
      </c>
      <c r="D169" s="34" t="s">
        <v>90</v>
      </c>
      <c r="E169" s="33" t="s">
        <v>102</v>
      </c>
    </row>
    <row r="170" spans="1:5" hidden="1">
      <c r="A170" s="33" t="s">
        <v>34</v>
      </c>
      <c r="B170" s="33">
        <v>168</v>
      </c>
      <c r="C170" s="35" t="s">
        <v>294</v>
      </c>
      <c r="D170" s="34" t="s">
        <v>90</v>
      </c>
      <c r="E170" s="33" t="s">
        <v>102</v>
      </c>
    </row>
    <row r="171" spans="1:5" hidden="1">
      <c r="A171" s="33" t="s">
        <v>34</v>
      </c>
      <c r="B171" s="34">
        <v>169</v>
      </c>
      <c r="C171" s="35" t="s">
        <v>104</v>
      </c>
      <c r="D171" s="34" t="s">
        <v>90</v>
      </c>
      <c r="E171" s="33" t="s">
        <v>102</v>
      </c>
    </row>
    <row r="172" spans="1:5" hidden="1">
      <c r="A172" s="33" t="s">
        <v>34</v>
      </c>
      <c r="B172" s="33">
        <v>170</v>
      </c>
      <c r="C172" s="35" t="s">
        <v>103</v>
      </c>
      <c r="D172" s="34" t="s">
        <v>90</v>
      </c>
      <c r="E172" s="33" t="s">
        <v>102</v>
      </c>
    </row>
    <row r="173" spans="1:5">
      <c r="A173" s="33" t="s">
        <v>55</v>
      </c>
      <c r="B173" s="34">
        <v>171</v>
      </c>
      <c r="C173" s="35" t="s">
        <v>101</v>
      </c>
      <c r="D173" s="34" t="s">
        <v>90</v>
      </c>
      <c r="E173" s="33" t="s">
        <v>89</v>
      </c>
    </row>
    <row r="174" spans="1:5">
      <c r="A174" s="33" t="s">
        <v>28</v>
      </c>
      <c r="B174" s="33">
        <v>172</v>
      </c>
      <c r="C174" s="35" t="s">
        <v>100</v>
      </c>
      <c r="D174" s="34" t="s">
        <v>99</v>
      </c>
      <c r="E174" s="33" t="s">
        <v>89</v>
      </c>
    </row>
    <row r="175" spans="1:5">
      <c r="A175" s="33" t="s">
        <v>55</v>
      </c>
      <c r="B175" s="34">
        <v>173</v>
      </c>
      <c r="C175" s="35" t="s">
        <v>98</v>
      </c>
      <c r="D175" s="34" t="s">
        <v>90</v>
      </c>
      <c r="E175" s="33" t="s">
        <v>89</v>
      </c>
    </row>
    <row r="176" spans="1:5">
      <c r="A176" s="33" t="s">
        <v>55</v>
      </c>
      <c r="B176" s="33">
        <v>174</v>
      </c>
      <c r="C176" s="35" t="s">
        <v>97</v>
      </c>
      <c r="D176" s="34" t="s">
        <v>90</v>
      </c>
      <c r="E176" s="33" t="s">
        <v>89</v>
      </c>
    </row>
    <row r="177" spans="1:5">
      <c r="A177" s="33" t="s">
        <v>55</v>
      </c>
      <c r="B177" s="34">
        <v>175</v>
      </c>
      <c r="C177" s="35" t="s">
        <v>96</v>
      </c>
      <c r="D177" s="34" t="s">
        <v>90</v>
      </c>
      <c r="E177" s="33" t="s">
        <v>89</v>
      </c>
    </row>
    <row r="178" spans="1:5">
      <c r="A178" s="33" t="s">
        <v>55</v>
      </c>
      <c r="B178" s="33">
        <v>176</v>
      </c>
      <c r="C178" s="35" t="s">
        <v>95</v>
      </c>
      <c r="D178" s="34" t="s">
        <v>90</v>
      </c>
      <c r="E178" s="33" t="s">
        <v>89</v>
      </c>
    </row>
    <row r="179" spans="1:5">
      <c r="A179" s="33" t="s">
        <v>55</v>
      </c>
      <c r="B179" s="34">
        <v>177</v>
      </c>
      <c r="C179" s="35" t="s">
        <v>94</v>
      </c>
      <c r="D179" s="34" t="s">
        <v>90</v>
      </c>
      <c r="E179" s="33" t="s">
        <v>89</v>
      </c>
    </row>
    <row r="180" spans="1:5">
      <c r="A180" s="33" t="s">
        <v>55</v>
      </c>
      <c r="B180" s="33">
        <v>178</v>
      </c>
      <c r="C180" s="35" t="s">
        <v>93</v>
      </c>
      <c r="D180" s="34" t="s">
        <v>90</v>
      </c>
      <c r="E180" s="33" t="s">
        <v>89</v>
      </c>
    </row>
    <row r="181" spans="1:5">
      <c r="A181" s="33" t="s">
        <v>55</v>
      </c>
      <c r="B181" s="34">
        <v>179</v>
      </c>
      <c r="C181" s="35" t="s">
        <v>92</v>
      </c>
      <c r="D181" s="34" t="s">
        <v>90</v>
      </c>
      <c r="E181" s="33" t="s">
        <v>89</v>
      </c>
    </row>
    <row r="182" spans="1:5">
      <c r="A182" s="33" t="s">
        <v>55</v>
      </c>
      <c r="B182" s="33">
        <v>180</v>
      </c>
      <c r="C182" s="35" t="s">
        <v>91</v>
      </c>
      <c r="D182" s="34" t="s">
        <v>90</v>
      </c>
      <c r="E182" s="33" t="s">
        <v>89</v>
      </c>
    </row>
    <row r="183" spans="1:5" hidden="1">
      <c r="A183" s="33" t="s">
        <v>46</v>
      </c>
      <c r="B183" s="34">
        <v>181</v>
      </c>
      <c r="C183" s="36" t="s">
        <v>88</v>
      </c>
      <c r="D183" s="34" t="s">
        <v>49</v>
      </c>
      <c r="E183" s="34" t="s">
        <v>80</v>
      </c>
    </row>
    <row r="184" spans="1:5" hidden="1">
      <c r="A184" s="33" t="s">
        <v>46</v>
      </c>
      <c r="B184" s="33">
        <v>182</v>
      </c>
      <c r="C184" s="35" t="s">
        <v>87</v>
      </c>
      <c r="D184" s="34" t="s">
        <v>49</v>
      </c>
      <c r="E184" s="33" t="s">
        <v>80</v>
      </c>
    </row>
    <row r="185" spans="1:5" hidden="1">
      <c r="A185" s="33" t="s">
        <v>46</v>
      </c>
      <c r="B185" s="34">
        <v>183</v>
      </c>
      <c r="C185" s="35" t="s">
        <v>86</v>
      </c>
      <c r="D185" s="34" t="s">
        <v>51</v>
      </c>
      <c r="E185" s="33" t="s">
        <v>80</v>
      </c>
    </row>
    <row r="186" spans="1:5" hidden="1">
      <c r="A186" s="33" t="s">
        <v>40</v>
      </c>
      <c r="B186" s="33">
        <v>184</v>
      </c>
      <c r="C186" s="35" t="s">
        <v>85</v>
      </c>
      <c r="D186" s="34" t="s">
        <v>49</v>
      </c>
      <c r="E186" s="33" t="s">
        <v>80</v>
      </c>
    </row>
    <row r="187" spans="1:5" hidden="1">
      <c r="A187" s="33" t="s">
        <v>34</v>
      </c>
      <c r="B187" s="34">
        <v>185</v>
      </c>
      <c r="C187" s="35" t="s">
        <v>295</v>
      </c>
      <c r="D187" s="34" t="s">
        <v>49</v>
      </c>
      <c r="E187" s="33" t="s">
        <v>80</v>
      </c>
    </row>
    <row r="188" spans="1:5" hidden="1">
      <c r="A188" s="33" t="s">
        <v>34</v>
      </c>
      <c r="B188" s="33">
        <v>186</v>
      </c>
      <c r="C188" s="35" t="s">
        <v>84</v>
      </c>
      <c r="D188" s="34" t="s">
        <v>49</v>
      </c>
      <c r="E188" s="33" t="s">
        <v>80</v>
      </c>
    </row>
    <row r="189" spans="1:5" hidden="1">
      <c r="A189" s="33" t="s">
        <v>34</v>
      </c>
      <c r="B189" s="34">
        <v>187</v>
      </c>
      <c r="C189" s="35" t="s">
        <v>83</v>
      </c>
      <c r="D189" s="34" t="s">
        <v>49</v>
      </c>
      <c r="E189" s="33" t="s">
        <v>80</v>
      </c>
    </row>
    <row r="190" spans="1:5" hidden="1">
      <c r="A190" s="33" t="s">
        <v>34</v>
      </c>
      <c r="B190" s="33">
        <v>188</v>
      </c>
      <c r="C190" s="35" t="s">
        <v>82</v>
      </c>
      <c r="D190" s="34" t="s">
        <v>49</v>
      </c>
      <c r="E190" s="33" t="s">
        <v>80</v>
      </c>
    </row>
    <row r="191" spans="1:5" hidden="1">
      <c r="A191" s="33" t="s">
        <v>34</v>
      </c>
      <c r="B191" s="34">
        <v>189</v>
      </c>
      <c r="C191" s="35" t="s">
        <v>81</v>
      </c>
      <c r="D191" s="34" t="s">
        <v>49</v>
      </c>
      <c r="E191" s="33" t="s">
        <v>80</v>
      </c>
    </row>
    <row r="192" spans="1:5" hidden="1">
      <c r="A192" s="33" t="s">
        <v>34</v>
      </c>
      <c r="B192" s="33">
        <v>190</v>
      </c>
      <c r="C192" s="35" t="s">
        <v>296</v>
      </c>
      <c r="D192" s="34" t="s">
        <v>49</v>
      </c>
      <c r="E192" s="33" t="s">
        <v>80</v>
      </c>
    </row>
    <row r="193" spans="1:5" hidden="1">
      <c r="A193" s="33" t="s">
        <v>34</v>
      </c>
      <c r="B193" s="34">
        <v>191</v>
      </c>
      <c r="C193" s="35" t="s">
        <v>79</v>
      </c>
      <c r="D193" s="34" t="s">
        <v>49</v>
      </c>
      <c r="E193" s="33" t="s">
        <v>70</v>
      </c>
    </row>
    <row r="194" spans="1:5" hidden="1">
      <c r="A194" s="33" t="s">
        <v>34</v>
      </c>
      <c r="B194" s="33">
        <v>192</v>
      </c>
      <c r="C194" s="35" t="s">
        <v>78</v>
      </c>
      <c r="D194" s="34" t="s">
        <v>49</v>
      </c>
      <c r="E194" s="33" t="s">
        <v>70</v>
      </c>
    </row>
    <row r="195" spans="1:5" hidden="1">
      <c r="A195" s="33" t="s">
        <v>34</v>
      </c>
      <c r="B195" s="34">
        <v>193</v>
      </c>
      <c r="C195" s="35" t="s">
        <v>77</v>
      </c>
      <c r="D195" s="34" t="s">
        <v>49</v>
      </c>
      <c r="E195" s="33" t="s">
        <v>70</v>
      </c>
    </row>
    <row r="196" spans="1:5" hidden="1">
      <c r="A196" s="33" t="s">
        <v>34</v>
      </c>
      <c r="B196" s="33">
        <v>194</v>
      </c>
      <c r="C196" s="35" t="s">
        <v>297</v>
      </c>
      <c r="D196" s="34" t="s">
        <v>49</v>
      </c>
      <c r="E196" s="33" t="s">
        <v>70</v>
      </c>
    </row>
    <row r="197" spans="1:5">
      <c r="A197" s="33" t="s">
        <v>55</v>
      </c>
      <c r="B197" s="34">
        <v>195</v>
      </c>
      <c r="C197" s="35" t="s">
        <v>76</v>
      </c>
      <c r="D197" s="34" t="s">
        <v>49</v>
      </c>
      <c r="E197" s="33" t="s">
        <v>70</v>
      </c>
    </row>
    <row r="198" spans="1:5">
      <c r="A198" s="33" t="s">
        <v>55</v>
      </c>
      <c r="B198" s="33">
        <v>196</v>
      </c>
      <c r="C198" s="35" t="s">
        <v>75</v>
      </c>
      <c r="D198" s="34" t="s">
        <v>49</v>
      </c>
      <c r="E198" s="33" t="s">
        <v>70</v>
      </c>
    </row>
    <row r="199" spans="1:5">
      <c r="A199" s="33" t="s">
        <v>55</v>
      </c>
      <c r="B199" s="34">
        <v>197</v>
      </c>
      <c r="C199" s="35" t="s">
        <v>74</v>
      </c>
      <c r="D199" s="34" t="s">
        <v>49</v>
      </c>
      <c r="E199" s="33" t="s">
        <v>70</v>
      </c>
    </row>
    <row r="200" spans="1:5">
      <c r="A200" s="33" t="s">
        <v>55</v>
      </c>
      <c r="B200" s="33">
        <v>198</v>
      </c>
      <c r="C200" s="35" t="s">
        <v>73</v>
      </c>
      <c r="D200" s="34" t="s">
        <v>49</v>
      </c>
      <c r="E200" s="33" t="s">
        <v>70</v>
      </c>
    </row>
    <row r="201" spans="1:5">
      <c r="A201" s="33" t="s">
        <v>55</v>
      </c>
      <c r="B201" s="34">
        <v>199</v>
      </c>
      <c r="C201" s="35" t="s">
        <v>72</v>
      </c>
      <c r="D201" s="34" t="s">
        <v>49</v>
      </c>
      <c r="E201" s="33" t="s">
        <v>70</v>
      </c>
    </row>
    <row r="202" spans="1:5">
      <c r="A202" s="33" t="s">
        <v>55</v>
      </c>
      <c r="B202" s="33">
        <v>200</v>
      </c>
      <c r="C202" s="35" t="s">
        <v>71</v>
      </c>
      <c r="D202" s="34" t="s">
        <v>49</v>
      </c>
      <c r="E202" s="33" t="s">
        <v>70</v>
      </c>
    </row>
    <row r="203" spans="1:5" hidden="1">
      <c r="A203" s="33" t="s">
        <v>46</v>
      </c>
      <c r="B203" s="34">
        <v>201</v>
      </c>
      <c r="C203" s="35" t="s">
        <v>69</v>
      </c>
      <c r="D203" s="34" t="s">
        <v>49</v>
      </c>
      <c r="E203" s="33" t="s">
        <v>61</v>
      </c>
    </row>
    <row r="204" spans="1:5" hidden="1">
      <c r="A204" s="33" t="s">
        <v>46</v>
      </c>
      <c r="B204" s="33">
        <v>202</v>
      </c>
      <c r="C204" s="35" t="s">
        <v>68</v>
      </c>
      <c r="D204" s="34" t="s">
        <v>49</v>
      </c>
      <c r="E204" s="33" t="s">
        <v>61</v>
      </c>
    </row>
    <row r="205" spans="1:5" hidden="1">
      <c r="A205" s="33" t="s">
        <v>46</v>
      </c>
      <c r="B205" s="34">
        <v>203</v>
      </c>
      <c r="C205" s="35" t="s">
        <v>67</v>
      </c>
      <c r="D205" s="34" t="s">
        <v>51</v>
      </c>
      <c r="E205" s="33" t="s">
        <v>61</v>
      </c>
    </row>
    <row r="206" spans="1:5" hidden="1">
      <c r="A206" s="33" t="s">
        <v>34</v>
      </c>
      <c r="B206" s="33">
        <v>204</v>
      </c>
      <c r="C206" s="35" t="s">
        <v>298</v>
      </c>
      <c r="D206" s="34" t="s">
        <v>49</v>
      </c>
      <c r="E206" s="33" t="s">
        <v>61</v>
      </c>
    </row>
    <row r="207" spans="1:5" hidden="1">
      <c r="A207" s="33" t="s">
        <v>34</v>
      </c>
      <c r="B207" s="34">
        <v>205</v>
      </c>
      <c r="C207" s="35" t="s">
        <v>66</v>
      </c>
      <c r="D207" s="34" t="s">
        <v>49</v>
      </c>
      <c r="E207" s="33" t="s">
        <v>61</v>
      </c>
    </row>
    <row r="208" spans="1:5" hidden="1">
      <c r="A208" s="33" t="s">
        <v>34</v>
      </c>
      <c r="B208" s="33">
        <v>206</v>
      </c>
      <c r="C208" s="35" t="s">
        <v>65</v>
      </c>
      <c r="D208" s="34" t="s">
        <v>49</v>
      </c>
      <c r="E208" s="33" t="s">
        <v>61</v>
      </c>
    </row>
    <row r="209" spans="1:5" hidden="1">
      <c r="A209" s="33" t="s">
        <v>40</v>
      </c>
      <c r="B209" s="34">
        <v>207</v>
      </c>
      <c r="C209" s="35" t="s">
        <v>299</v>
      </c>
      <c r="D209" s="34" t="s">
        <v>51</v>
      </c>
      <c r="E209" s="33" t="s">
        <v>61</v>
      </c>
    </row>
    <row r="210" spans="1:5" hidden="1">
      <c r="A210" s="33" t="s">
        <v>34</v>
      </c>
      <c r="B210" s="33">
        <v>208</v>
      </c>
      <c r="C210" s="35" t="s">
        <v>64</v>
      </c>
      <c r="D210" s="34" t="s">
        <v>49</v>
      </c>
      <c r="E210" s="33" t="s">
        <v>61</v>
      </c>
    </row>
    <row r="211" spans="1:5" hidden="1">
      <c r="A211" s="33" t="s">
        <v>34</v>
      </c>
      <c r="B211" s="34">
        <v>209</v>
      </c>
      <c r="C211" s="35" t="s">
        <v>63</v>
      </c>
      <c r="D211" s="34" t="s">
        <v>49</v>
      </c>
      <c r="E211" s="33" t="s">
        <v>61</v>
      </c>
    </row>
    <row r="212" spans="1:5">
      <c r="A212" s="33" t="s">
        <v>55</v>
      </c>
      <c r="B212" s="33">
        <v>210</v>
      </c>
      <c r="C212" s="35" t="s">
        <v>62</v>
      </c>
      <c r="D212" s="34" t="s">
        <v>49</v>
      </c>
      <c r="E212" s="33" t="s">
        <v>61</v>
      </c>
    </row>
    <row r="213" spans="1:5" hidden="1">
      <c r="A213" s="33" t="s">
        <v>34</v>
      </c>
      <c r="B213" s="34">
        <v>211</v>
      </c>
      <c r="C213" s="35" t="s">
        <v>60</v>
      </c>
      <c r="D213" s="34" t="s">
        <v>49</v>
      </c>
      <c r="E213" s="33" t="s">
        <v>48</v>
      </c>
    </row>
    <row r="214" spans="1:5" hidden="1">
      <c r="A214" s="33" t="s">
        <v>34</v>
      </c>
      <c r="B214" s="33">
        <v>212</v>
      </c>
      <c r="C214" s="35" t="s">
        <v>59</v>
      </c>
      <c r="D214" s="34" t="s">
        <v>49</v>
      </c>
      <c r="E214" s="33" t="s">
        <v>48</v>
      </c>
    </row>
    <row r="215" spans="1:5" hidden="1">
      <c r="A215" s="33" t="s">
        <v>34</v>
      </c>
      <c r="B215" s="34">
        <v>213</v>
      </c>
      <c r="C215" s="35" t="s">
        <v>58</v>
      </c>
      <c r="D215" s="34" t="s">
        <v>49</v>
      </c>
      <c r="E215" s="33" t="s">
        <v>48</v>
      </c>
    </row>
    <row r="216" spans="1:5" hidden="1">
      <c r="A216" s="33" t="s">
        <v>42</v>
      </c>
      <c r="B216" s="33">
        <v>214</v>
      </c>
      <c r="C216" s="35" t="s">
        <v>305</v>
      </c>
      <c r="D216" s="34" t="s">
        <v>49</v>
      </c>
      <c r="E216" s="33" t="s">
        <v>48</v>
      </c>
    </row>
    <row r="217" spans="1:5">
      <c r="A217" s="33" t="s">
        <v>55</v>
      </c>
      <c r="B217" s="34">
        <v>215</v>
      </c>
      <c r="C217" s="35" t="s">
        <v>57</v>
      </c>
      <c r="D217" s="34" t="s">
        <v>51</v>
      </c>
      <c r="E217" s="33" t="s">
        <v>48</v>
      </c>
    </row>
    <row r="218" spans="1:5">
      <c r="A218" s="33" t="s">
        <v>55</v>
      </c>
      <c r="B218" s="33">
        <v>216</v>
      </c>
      <c r="C218" s="35" t="s">
        <v>56</v>
      </c>
      <c r="D218" s="34" t="s">
        <v>51</v>
      </c>
      <c r="E218" s="33" t="s">
        <v>48</v>
      </c>
    </row>
    <row r="219" spans="1:5">
      <c r="A219" s="33" t="s">
        <v>55</v>
      </c>
      <c r="B219" s="34">
        <v>217</v>
      </c>
      <c r="C219" s="35" t="s">
        <v>54</v>
      </c>
      <c r="D219" s="34" t="s">
        <v>51</v>
      </c>
      <c r="E219" s="33" t="s">
        <v>48</v>
      </c>
    </row>
    <row r="220" spans="1:5">
      <c r="A220" s="33" t="s">
        <v>28</v>
      </c>
      <c r="B220" s="33">
        <v>218</v>
      </c>
      <c r="C220" s="35" t="s">
        <v>53</v>
      </c>
      <c r="D220" s="34" t="s">
        <v>49</v>
      </c>
      <c r="E220" s="33" t="s">
        <v>48</v>
      </c>
    </row>
    <row r="221" spans="1:5">
      <c r="A221" s="33" t="s">
        <v>28</v>
      </c>
      <c r="B221" s="34">
        <v>219</v>
      </c>
      <c r="C221" s="35" t="s">
        <v>52</v>
      </c>
      <c r="D221" s="34" t="s">
        <v>51</v>
      </c>
      <c r="E221" s="33" t="s">
        <v>48</v>
      </c>
    </row>
    <row r="222" spans="1:5">
      <c r="A222" s="33" t="s">
        <v>28</v>
      </c>
      <c r="B222" s="33">
        <v>220</v>
      </c>
      <c r="C222" s="35" t="s">
        <v>50</v>
      </c>
      <c r="D222" s="34" t="s">
        <v>49</v>
      </c>
      <c r="E222" s="33" t="s">
        <v>48</v>
      </c>
    </row>
    <row r="223" spans="1:5" hidden="1">
      <c r="A223" s="33" t="s">
        <v>46</v>
      </c>
      <c r="B223" s="34">
        <v>221</v>
      </c>
      <c r="C223" s="36" t="s">
        <v>47</v>
      </c>
      <c r="D223" s="34" t="s">
        <v>38</v>
      </c>
      <c r="E223" s="34" t="s">
        <v>41</v>
      </c>
    </row>
    <row r="224" spans="1:5" hidden="1">
      <c r="A224" s="33" t="s">
        <v>46</v>
      </c>
      <c r="B224" s="33">
        <v>222</v>
      </c>
      <c r="C224" s="35" t="s">
        <v>45</v>
      </c>
      <c r="D224" s="34" t="s">
        <v>38</v>
      </c>
      <c r="E224" s="33" t="s">
        <v>41</v>
      </c>
    </row>
    <row r="225" spans="1:5" hidden="1">
      <c r="A225" s="33" t="s">
        <v>34</v>
      </c>
      <c r="B225" s="34">
        <v>223</v>
      </c>
      <c r="C225" s="35" t="s">
        <v>44</v>
      </c>
      <c r="D225" s="34" t="s">
        <v>26</v>
      </c>
      <c r="E225" s="33" t="s">
        <v>41</v>
      </c>
    </row>
    <row r="226" spans="1:5" hidden="1">
      <c r="A226" s="33" t="s">
        <v>40</v>
      </c>
      <c r="B226" s="33">
        <v>224</v>
      </c>
      <c r="C226" s="35" t="s">
        <v>43</v>
      </c>
      <c r="D226" s="34" t="s">
        <v>26</v>
      </c>
      <c r="E226" s="33" t="s">
        <v>41</v>
      </c>
    </row>
    <row r="227" spans="1:5" hidden="1">
      <c r="A227" s="33" t="s">
        <v>42</v>
      </c>
      <c r="B227" s="34">
        <v>225</v>
      </c>
      <c r="C227" s="35" t="s">
        <v>300</v>
      </c>
      <c r="D227" s="34" t="s">
        <v>38</v>
      </c>
      <c r="E227" s="33" t="s">
        <v>41</v>
      </c>
    </row>
    <row r="228" spans="1:5" hidden="1">
      <c r="A228" s="33" t="s">
        <v>40</v>
      </c>
      <c r="B228" s="33">
        <v>226</v>
      </c>
      <c r="C228" s="35" t="s">
        <v>39</v>
      </c>
      <c r="D228" s="34" t="s">
        <v>38</v>
      </c>
      <c r="E228" s="33" t="s">
        <v>35</v>
      </c>
    </row>
    <row r="229" spans="1:5" hidden="1">
      <c r="A229" s="33" t="s">
        <v>32</v>
      </c>
      <c r="B229" s="34">
        <v>227</v>
      </c>
      <c r="C229" s="35" t="s">
        <v>304</v>
      </c>
      <c r="D229" s="34" t="s">
        <v>38</v>
      </c>
      <c r="E229" s="33" t="s">
        <v>35</v>
      </c>
    </row>
    <row r="230" spans="1:5" hidden="1">
      <c r="A230" s="33" t="s">
        <v>32</v>
      </c>
      <c r="B230" s="33">
        <v>228</v>
      </c>
      <c r="C230" s="35" t="s">
        <v>303</v>
      </c>
      <c r="D230" s="34" t="s">
        <v>38</v>
      </c>
      <c r="E230" s="33" t="s">
        <v>35</v>
      </c>
    </row>
    <row r="231" spans="1:5">
      <c r="A231" s="33" t="s">
        <v>28</v>
      </c>
      <c r="B231" s="34">
        <v>229</v>
      </c>
      <c r="C231" s="35" t="s">
        <v>37</v>
      </c>
      <c r="D231" s="34" t="s">
        <v>26</v>
      </c>
      <c r="E231" s="33" t="s">
        <v>35</v>
      </c>
    </row>
    <row r="232" spans="1:5">
      <c r="A232" s="33" t="s">
        <v>28</v>
      </c>
      <c r="B232" s="33">
        <v>230</v>
      </c>
      <c r="C232" s="35" t="s">
        <v>36</v>
      </c>
      <c r="D232" s="34" t="s">
        <v>26</v>
      </c>
      <c r="E232" s="33" t="s">
        <v>35</v>
      </c>
    </row>
    <row r="233" spans="1:5" hidden="1">
      <c r="A233" s="33" t="s">
        <v>34</v>
      </c>
      <c r="B233" s="34">
        <v>231</v>
      </c>
      <c r="C233" s="35" t="s">
        <v>33</v>
      </c>
      <c r="D233" s="34" t="s">
        <v>26</v>
      </c>
      <c r="E233" s="33" t="s">
        <v>25</v>
      </c>
    </row>
    <row r="234" spans="1:5" hidden="1">
      <c r="A234" s="33" t="s">
        <v>32</v>
      </c>
      <c r="B234" s="33">
        <v>232</v>
      </c>
      <c r="C234" s="35" t="s">
        <v>302</v>
      </c>
      <c r="D234" s="34" t="s">
        <v>26</v>
      </c>
      <c r="E234" s="33" t="s">
        <v>25</v>
      </c>
    </row>
    <row r="235" spans="1:5" hidden="1">
      <c r="A235" s="33" t="s">
        <v>31</v>
      </c>
      <c r="B235" s="34">
        <v>233</v>
      </c>
      <c r="C235" s="35" t="s">
        <v>301</v>
      </c>
      <c r="D235" s="34" t="s">
        <v>26</v>
      </c>
      <c r="E235" s="33" t="s">
        <v>25</v>
      </c>
    </row>
    <row r="236" spans="1:5">
      <c r="A236" s="33" t="s">
        <v>28</v>
      </c>
      <c r="B236" s="33">
        <v>234</v>
      </c>
      <c r="C236" s="35" t="s">
        <v>30</v>
      </c>
      <c r="D236" s="34" t="s">
        <v>26</v>
      </c>
      <c r="E236" s="33" t="s">
        <v>25</v>
      </c>
    </row>
    <row r="237" spans="1:5">
      <c r="A237" s="33" t="s">
        <v>28</v>
      </c>
      <c r="B237" s="34">
        <v>235</v>
      </c>
      <c r="C237" s="35" t="s">
        <v>29</v>
      </c>
      <c r="D237" s="34" t="s">
        <v>26</v>
      </c>
      <c r="E237" s="33" t="s">
        <v>25</v>
      </c>
    </row>
    <row r="238" spans="1:5">
      <c r="A238" s="33" t="s">
        <v>28</v>
      </c>
      <c r="B238" s="33">
        <v>236</v>
      </c>
      <c r="C238" s="35" t="s">
        <v>27</v>
      </c>
      <c r="D238" s="34" t="s">
        <v>26</v>
      </c>
      <c r="E238" s="33" t="s">
        <v>25</v>
      </c>
    </row>
    <row r="239" spans="1:5">
      <c r="A239" s="43" t="s">
        <v>314</v>
      </c>
      <c r="B239" s="28"/>
      <c r="C239" s="35" t="s">
        <v>315</v>
      </c>
      <c r="D239" s="33" t="s">
        <v>316</v>
      </c>
      <c r="E239" s="43" t="s">
        <v>317</v>
      </c>
    </row>
  </sheetData>
  <autoFilter ref="A1:E238">
    <filterColumn colId="0">
      <filters>
        <filter val="03전자제품 및 생활환경소리"/>
      </filters>
    </filterColumn>
    <sortState ref="A4:H238">
      <sortCondition ref="B1:B238"/>
    </sortState>
  </autoFilter>
  <mergeCells count="5">
    <mergeCell ref="B1:B2"/>
    <mergeCell ref="A1:A2"/>
    <mergeCell ref="D1:D2"/>
    <mergeCell ref="E1:E2"/>
    <mergeCell ref="C1:C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수집&amp;편집리스트</vt:lpstr>
      <vt:lpstr>수집리스트</vt:lpstr>
      <vt:lpstr>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NT-350</dc:creator>
  <cp:lastModifiedBy>NT-350</cp:lastModifiedBy>
  <dcterms:created xsi:type="dcterms:W3CDTF">2022-09-26T02:24:24Z</dcterms:created>
  <dcterms:modified xsi:type="dcterms:W3CDTF">2022-11-04T06:07:48Z</dcterms:modified>
</cp:coreProperties>
</file>